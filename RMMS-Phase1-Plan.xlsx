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_Overview" sheetId="1" state="visible" r:id="rId3"/>
    <sheet name="02_Modules" sheetId="2" state="visible" r:id="rId4"/>
    <sheet name="03_Sprints" sheetId="3" state="visible" r:id="rId5"/>
    <sheet name="04_Timeline" sheetId="4" state="visible" r:id="rId6"/>
    <sheet name="05_Resources" sheetId="5" state="visible" r:id="rId7"/>
    <sheet name="06_Cost" sheetId="6" state="visible" r:id="rId8"/>
    <sheet name="07_Risks" sheetId="7" state="visible" r:id="rId9"/>
    <sheet name="08_TechDecision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<sst xmlns="http://schemas.openxmlformats.org/spreadsheetml/2006/main" count="763" uniqueCount="619">
  <si>
    <t xml:space="preserve">RMMS 2026 — Phase 1 Plan</t>
  </si>
  <si>
    <t xml:space="preserve">Document v1.0 | Plan generated 2026-05-22</t>
  </si>
  <si>
    <t xml:space="preserve">PROJECT CONTEXT</t>
  </si>
  <si>
    <t xml:space="preserve">Project name</t>
  </si>
  <si>
    <t xml:space="preserve">RMMS 2026 (rewrite) — Retail Merchandiser Management System</t>
  </si>
  <si>
    <t xml:space="preserve">Business model</t>
  </si>
  <si>
    <t xml:space="preserve">Internal product — 1 customer (own company)</t>
  </si>
  <si>
    <t xml:space="preserve">Users</t>
  </si>
  <si>
    <t xml:space="preserve">PG, Leader, Admin, BUH</t>
  </si>
  <si>
    <t xml:space="preserve">Phase 1 strategy</t>
  </si>
  <si>
    <t xml:space="preserve">Split into Phase 1A + Phase 1B for internal staged release; single acceptance gate at end of 1B</t>
  </si>
  <si>
    <t xml:space="preserve">TEAM SETUP</t>
  </si>
  <si>
    <t xml:space="preserve">Team size</t>
  </si>
  <si>
    <t xml:space="preserve">2 Senior Developers (generalist)</t>
  </si>
  <si>
    <t xml:space="preserve">PM role</t>
  </si>
  <si>
    <t xml:space="preserve">1 dev kiêm PM/PO (-20% dev capacity)</t>
  </si>
  <si>
    <t xml:space="preserve">Design</t>
  </si>
  <si>
    <t xml:space="preserve">Dev tự design UI (UI đơn giản)</t>
  </si>
  <si>
    <t xml:space="preserve">QA</t>
  </si>
  <si>
    <t xml:space="preserve">Dev tự test (built into sprint capacity)</t>
  </si>
  <si>
    <t xml:space="preserve">DevOps</t>
  </si>
  <si>
    <t xml:space="preserve">Dev tự setup (Sprint 0)</t>
  </si>
  <si>
    <t xml:space="preserve">TECH STACK</t>
  </si>
  <si>
    <t xml:space="preserve">Backend</t>
  </si>
  <si>
    <t xml:space="preserve">.NET 8 + EF Core + PostgreSQL 16 + Redis 7 + Hangfire + SignalR</t>
  </si>
  <si>
    <t xml:space="preserve">Web Admin/BUH</t>
  </si>
  <si>
    <t xml:space="preserve">Next.js 14 + TypeScript + Ant Design Pro + TanStack Query + Zustand</t>
  </si>
  <si>
    <t xml:space="preserve">Mobile</t>
  </si>
  <si>
    <t xml:space="preserve">Flutter 3.x + Riverpod + Dio + Hive (offline draft)</t>
  </si>
  <si>
    <t xml:space="preserve">Infrastructure</t>
  </si>
  <si>
    <t xml:space="preserve">Ubuntu 22.04 + Docker Compose + Caddy + Vultr Singapore VPS</t>
  </si>
  <si>
    <t xml:space="preserve">Face Recognition</t>
  </si>
  <si>
    <t xml:space="preserve">FPT.AI Face (VN, ~500đ/verify) — TBD in Sprint 0</t>
  </si>
  <si>
    <t xml:space="preserve">Push notification</t>
  </si>
  <si>
    <t xml:space="preserve">Firebase Cloud Messaging (free tier)</t>
  </si>
  <si>
    <t xml:space="preserve">Email</t>
  </si>
  <si>
    <t xml:space="preserve">SendGrid or AWS SES — TBD</t>
  </si>
  <si>
    <t xml:space="preserve">File storage</t>
  </si>
  <si>
    <t xml:space="preserve">AWS S3 or MinIO self-hosted</t>
  </si>
  <si>
    <t xml:space="preserve">KEY DATES &amp; DURATION</t>
  </si>
  <si>
    <t xml:space="preserve">Sprint length</t>
  </si>
  <si>
    <t xml:space="preserve">2 weeks</t>
  </si>
  <si>
    <t xml:space="preserve">Sprint 0 (setup)</t>
  </si>
  <si>
    <t xml:space="preserve">Phase 1A duration</t>
  </si>
  <si>
    <t xml:space="preserve">10 sprints (~5 months) — Internal release</t>
  </si>
  <si>
    <t xml:space="preserve">Phase 1B duration</t>
  </si>
  <si>
    <t xml:space="preserve">8 sprints (~4 months) — Final UAT &amp; acceptance</t>
  </si>
  <si>
    <t xml:space="preserve">Total duration</t>
  </si>
  <si>
    <t xml:space="preserve">~10 months from kickoff</t>
  </si>
  <si>
    <t xml:space="preserve">SCOPE SUMMARY</t>
  </si>
  <si>
    <t xml:space="preserve">Total modules</t>
  </si>
  <si>
    <t xml:space="preserve">16</t>
  </si>
  <si>
    <t xml:space="preserve">Phase 1A modules</t>
  </si>
  <si>
    <t xml:space="preserve">11 (Identity, Device, Org, Attendance, Face, Schedule, Leave/OT, Approval, Team Monitoring, Audit, Notification-basic)</t>
  </si>
  <si>
    <t xml:space="preserve">Phase 1B modules</t>
  </si>
  <si>
    <t xml:space="preserve">6 (Product, Form Engine, Visit Plan, Document, Notification-full, Dashboard-full)</t>
  </si>
  <si>
    <t xml:space="preserve">Acceptance criteria</t>
  </si>
  <si>
    <t xml:space="preserve">35 criteria (full list in 02_Modules)</t>
  </si>
  <si>
    <t xml:space="preserve">ACCEPTANCE STRATEGY</t>
  </si>
  <si>
    <t xml:space="preserve">Phase 1A end</t>
  </si>
  <si>
    <t xml:space="preserve">Internal UAT — feedback collected, NO formal acceptance</t>
  </si>
  <si>
    <t xml:space="preserve">Phase 1B end</t>
  </si>
  <si>
    <t xml:space="preserve">Formal acceptance gate — full 35 criteria must pass</t>
  </si>
  <si>
    <t xml:space="preserve">UAT period</t>
  </si>
  <si>
    <t xml:space="preserve">Last 2 sprints reserved for UAT + bug fix only (no new features)</t>
  </si>
  <si>
    <t xml:space="preserve">OUT OF SCOPE PHASE 1</t>
  </si>
  <si>
    <t xml:space="preserve">Excluded items</t>
  </si>
  <si>
    <t xml:space="preserve">Salary calc, Beacon, Target, KPI, Gifts, Promotions, Invoice, Old sale reports, Migration, Full offline app, Offline check-in, Excel import</t>
  </si>
  <si>
    <t xml:space="preserve">MODULE BREAKDOWN — Phase 1A + 1B</t>
  </si>
  <si>
    <t xml:space="preserve">No.</t>
  </si>
  <si>
    <t xml:space="preserve">Module</t>
  </si>
  <si>
    <t xml:space="preserve">Scope summary</t>
  </si>
  <si>
    <t xml:space="preserve">Priority</t>
  </si>
  <si>
    <t xml:space="preserve">Complexity</t>
  </si>
  <si>
    <t xml:space="preserve">Est. dev-days</t>
  </si>
  <si>
    <t xml:space="preserve">Phase</t>
  </si>
  <si>
    <t xml:space="preserve">Dependencies</t>
  </si>
  <si>
    <t xml:space="preserve">Acceptance criteria refs</t>
  </si>
  <si>
    <t xml:space="preserve">Identity &amp; Access</t>
  </si>
  <si>
    <t xml:space="preserve">Email registration (PG), assigned accounts (Leader/Admin/BUH), login/logout, role-based permissions, password reset, login history</t>
  </si>
  <si>
    <t xml:space="preserve">P0</t>
  </si>
  <si>
    <t xml:space="preserve">Medium</t>
  </si>
  <si>
    <t xml:space="preserve">1A</t>
  </si>
  <si>
    <t xml:space="preserve">—</t>
  </si>
  <si>
    <t xml:space="preserve">AC-1, AC-2</t>
  </si>
  <si>
    <t xml:space="preserve">Device Management</t>
  </si>
  <si>
    <t xml:space="preserve">Single-device login enforcement for PG, device change request flow, Leader/Admin approval, device history log</t>
  </si>
  <si>
    <t xml:space="preserve">M1</t>
  </si>
  <si>
    <t xml:space="preserve">AC-3</t>
  </si>
  <si>
    <t xml:space="preserve">Organization &amp; Assignment</t>
  </si>
  <si>
    <t xml:space="preserve">Manage PG/Leader/BUH, Store (with GPS coords), Area, Category. Assign PG↔Leader, PG↔Store, PG↔Category</t>
  </si>
  <si>
    <t xml:space="preserve">Product Master</t>
  </si>
  <si>
    <t xml:space="preserve">Admin CRUD Product (category, brand, SKU). Used as data source for Form Engine product selector</t>
  </si>
  <si>
    <t xml:space="preserve">P1</t>
  </si>
  <si>
    <t xml:space="preserve">Low</t>
  </si>
  <si>
    <t xml:space="preserve">1B</t>
  </si>
  <si>
    <t xml:space="preserve">M3</t>
  </si>
  <si>
    <t xml:space="preserve">AC-25</t>
  </si>
  <si>
    <t xml:space="preserve">Attendance &amp; Anti-Fraud</t>
  </si>
  <si>
    <t xml:space="preserve">Check-in/out at assigned store, GPS validation (300m threshold, fake GPS block), selfie capture, store photo with EXIF, attendance history, status tracking</t>
  </si>
  <si>
    <t xml:space="preserve">High</t>
  </si>
  <si>
    <t xml:space="preserve">M1, M3, M6, M16</t>
  </si>
  <si>
    <t xml:space="preserve">AC-4, AC-5, AC-6, AC-9, AC-10</t>
  </si>
  <si>
    <t xml:space="preserve">Face Verification</t>
  </si>
  <si>
    <t xml:space="preserve">PG face enrollment, mandatory face check at check-in/out, 3rd-party Face API integration (FPT.AI), fail → Admin Review</t>
  </si>
  <si>
    <t xml:space="preserve">M1, M5</t>
  </si>
  <si>
    <t xml:space="preserve">AC-7, AC-8, AC-11, AC-12, AC-13</t>
  </si>
  <si>
    <t xml:space="preserve">Work Schedule</t>
  </si>
  <si>
    <t xml:space="preserve">Register schedule by day/week/month, multi-shift/day, multi-store/day, edit unconfirmed days, send for approval, version handling (old schedule active while edit pending)</t>
  </si>
  <si>
    <t xml:space="preserve">M1, M3, M9</t>
  </si>
  <si>
    <t xml:space="preserve">AC-14, AC-15</t>
  </si>
  <si>
    <t xml:space="preserve">Leave &amp; OT</t>
  </si>
  <si>
    <t xml:space="preserve">Create leave/emergency leave/OT requests, reason input, link emergency leave to check-out, history view</t>
  </si>
  <si>
    <t xml:space="preserve">M1, M9</t>
  </si>
  <si>
    <t xml:space="preserve">AC-16</t>
  </si>
  <si>
    <t xml:space="preserve">Approval Workflow</t>
  </si>
  <si>
    <t xml:space="preserve">Shared workflow engine: PG→Leader, Leader→BUH. BUH email-link approval (no login required). Hybrid (inline + detail view). Mandatory reason on reject. Admin override with audit. Used by Schedule/OT/Leave/Visit Plan</t>
  </si>
  <si>
    <t xml:space="preserve">AC-17, AC-18, AC-19</t>
  </si>
  <si>
    <t xml:space="preserve">Form Engine</t>
  </si>
  <si>
    <t xml:space="preserve">Form Builder (12+ input types), 9 form templates, configurable rules (target users, time, store/GPS/check-in required, scoring, randomization, results visibility, edit-after-submit), assignment by role/user/store/area/category, offline draft, versioning on edit-after-publish</t>
  </si>
  <si>
    <t xml:space="preserve">Very High</t>
  </si>
  <si>
    <t xml:space="preserve">M1, M3, M4</t>
  </si>
  <si>
    <t xml:space="preserve">AC-20, AC-21, AC-22, AC-23, AC-24</t>
  </si>
  <si>
    <t xml:space="preserve">Visit Plan &amp; Execution</t>
  </si>
  <si>
    <t xml:space="preserve">Leader creates visit plan (date, stores, tasks/forms), sends to BUH approve, executes visit, submits post-visit report via Form Engine</t>
  </si>
  <si>
    <t xml:space="preserve">M1, M3, M9, M10</t>
  </si>
  <si>
    <t xml:space="preserve">AC-28, AC-29, AC-30</t>
  </si>
  <si>
    <t xml:space="preserve">Team Monitoring / PG Online</t>
  </si>
  <si>
    <t xml:space="preserve">List PG/Leader online, check-in/out status today, Leader sees own PGs, Admin/BUH see by permission, manual refresh, last-update timestamp</t>
  </si>
  <si>
    <t xml:space="preserve">M3, M5</t>
  </si>
  <si>
    <t xml:space="preserve">AC-26, AC-27</t>
  </si>
  <si>
    <t xml:space="preserve">Document Center</t>
  </si>
  <si>
    <t xml:space="preserve">Public/private folders, Admin upload, assign to user/role, support PDF/image/text, search by name, payslip as private file per user</t>
  </si>
  <si>
    <t xml:space="preserve">M1, M3, M14</t>
  </si>
  <si>
    <t xml:space="preserve">AC-31, AC-32</t>
  </si>
  <si>
    <t xml:space="preserve">News &amp; Notification</t>
  </si>
  <si>
    <t xml:space="preserve">Admin creates news, in-app + push + email channels, classification, read/unread tracking, important news with read confirmation, badge</t>
  </si>
  <si>
    <t xml:space="preserve">P0 (basic) / P1 (full)</t>
  </si>
  <si>
    <t xml:space="preserve">1A (basic), 1B (full)</t>
  </si>
  <si>
    <t xml:space="preserve">AC-33, AC-34</t>
  </si>
  <si>
    <t xml:space="preserve">Dashboard &amp; Reports</t>
  </si>
  <si>
    <t xml:space="preserve">Phase 1 required: PG/Leader Online + check-in/out today. Reports by module: attendance, anomalies, face fail, GPS violation, fake GPS, schedule, leave/OT, pending approval, form, visit. Export per report</t>
  </si>
  <si>
    <t xml:space="preserve">M3, M5, M7, M8, M10, M11</t>
  </si>
  <si>
    <t xml:space="preserve">AC-27</t>
  </si>
  <si>
    <t xml:space="preserve">Admin Review &amp; Audit Log</t>
  </si>
  <si>
    <t xml:space="preserve">Admin Review cases: GPS&gt;300m, face fail, device change, manual check-in/out. Actions: approve/reject/note/request more. Comprehensive audit log for all critical actions</t>
  </si>
  <si>
    <t xml:space="preserve">M1, M5, M6, M2</t>
  </si>
  <si>
    <t xml:space="preserve">AC-11, AC-12, AC-13, AC-19, AC-35</t>
  </si>
  <si>
    <t xml:space="preserve">TOTAL Phase 1A dev-days</t>
  </si>
  <si>
    <t xml:space="preserve">TOTAL Phase 1B dev-days</t>
  </si>
  <si>
    <t xml:space="preserve">GRAND TOTAL dev-days</t>
  </si>
  <si>
    <t xml:space="preserve">LEGEND</t>
  </si>
  <si>
    <t xml:space="preserve">P0 (must)</t>
  </si>
  <si>
    <t xml:space="preserve">P1 (should)</t>
  </si>
  <si>
    <t xml:space="preserve">P2 (nice)</t>
  </si>
  <si>
    <t xml:space="preserve">Mixed</t>
  </si>
  <si>
    <t xml:space="preserve">SPRINT BREAKDOWN — Phase 1A (10) + Phase 1B (8) + Sprint 0 setup</t>
  </si>
  <si>
    <t xml:space="preserve">Sprint</t>
  </si>
  <si>
    <t xml:space="preserve">Sprint goal</t>
  </si>
  <si>
    <t xml:space="preserve">Key user stories / deliverables</t>
  </si>
  <si>
    <t xml:space="preserve">Tasks (BE / FE / Mobile / QA / DevOps)</t>
  </si>
  <si>
    <t xml:space="preserve">Story pts</t>
  </si>
  <si>
    <t xml:space="preserve">Dev-days</t>
  </si>
  <si>
    <t xml:space="preserve">Modules touched</t>
  </si>
  <si>
    <t xml:space="preserve">S0</t>
  </si>
  <si>
    <t xml:space="preserve">Setup</t>
  </si>
  <si>
    <t xml:space="preserve">Foundation &amp; infra ready</t>
  </si>
  <si>
    <t xml:space="preserve">• Setup repo (BE/Web/Mobile mono-repo or 3 repos)
• CI/CD pipeline (GitHub Actions)
• VPS provisioning + Docker Compose
• PostgreSQL + Redis setup
• Apple Developer + Google Play accounts
• Domain + SSL (Caddy auto)
• Sentry monitoring
• Decide: Face Recognition vendor</t>
  </si>
  <si>
    <t xml:space="preserve">BE: project skeleton, EF Core, base auth scaffolding
FE: Next.js init, Ant Design Pro setup, i18n config
Mobile: Flutter init, dependency setup, i18n
DevOps: VPS setup, Docker, Nginx/Caddy, CI/CD
QA: test strategy doc</t>
  </si>
  <si>
    <t xml:space="preserve">Foundation</t>
  </si>
  <si>
    <t xml:space="preserve">S1</t>
  </si>
  <si>
    <t xml:space="preserve">Identity &amp; Device foundation</t>
  </si>
  <si>
    <t xml:space="preserve">• PG email registration with verification
• Login/logout (all roles)
• JWT + refresh token
• Password reset flow
• Single-device enforcement logic
• Login history</t>
  </si>
  <si>
    <t xml:space="preserve">BE: User entity, auth endpoints, refresh token, password reset
Mobile: Login/register screens, token storage
Web: Login screen for Admin/BUH
QA: auth flow test cases</t>
  </si>
  <si>
    <t xml:space="preserve">S2</t>
  </si>
  <si>
    <t xml:space="preserve">Org structure &amp; assignment</t>
  </si>
  <si>
    <t xml:space="preserve">• PG/Leader/BUH CRUD (Admin web)
• Store CRUD with GPS coords
• Area &amp; Category CRUD
• Assign PG↔Leader
• Assign PG↔Store (multi-store)
• Device change request flow</t>
  </si>
  <si>
    <t xml:space="preserve">BE: Org entities, assignment relations, device approval endpoints
Web: Admin CRUD screens
Mobile: device-change notification handling
QA: assignment edge cases</t>
  </si>
  <si>
    <t xml:space="preserve">M2, M3</t>
  </si>
  <si>
    <t xml:space="preserve">S3</t>
  </si>
  <si>
    <t xml:space="preserve">Attendance core (no Face)</t>
  </si>
  <si>
    <t xml:space="preserve">• Check-in screen on Mobile (PG/Leader)
• Store auto-detection (assigned)
• GPS validation (300m, fake GPS detect)
• Selfie capture
• Store photo with EXIF
• Check-in/out without Face Recognition first
• Attendance history view</t>
  </si>
  <si>
    <t xml:space="preserve">BE: Attendance entity, GPS validation logic, fake GPS detection (mock_location flag, plugin-based)
Mobile: check-in flow, camera, geolocator, exif_image
Web: attendance list (read-only)
QA: GPS edge cases, fake GPS</t>
  </si>
  <si>
    <t xml:space="preserve">M5</t>
  </si>
  <si>
    <t xml:space="preserve">S4</t>
  </si>
  <si>
    <t xml:space="preserve">Face Verification + Attendance integration</t>
  </si>
  <si>
    <t xml:space="preserve">• PG face enrollment screen
• FPT.AI Face API integration
• Mandatory face check at check-in/out
• Face fail → Admin Review queue
• Tie attendance status to face result
• 60-min early check-in, 5-min late marking</t>
  </si>
  <si>
    <t xml:space="preserve">BE: Face API client, enrollment endpoint, verify endpoint, status state machine
Mobile: face enrollment flow, face capture during check-in
Web: Admin Review queue UI
QA: face accuracy testing on real devices</t>
  </si>
  <si>
    <t xml:space="preserve">M5, M6</t>
  </si>
  <si>
    <t xml:space="preserve">S5</t>
  </si>
  <si>
    <t xml:space="preserve">• Calendar view (month/week/day) Mobile
• Register schedule by day/week/month
• Multi-shift, multi-store per day
• Send for approval
• Edit unconfirmed days
• Versioning (old active while edit pending)
• Schedule states</t>
  </si>
  <si>
    <t xml:space="preserve">BE: Schedule entity, shift entity, state machine, version logic
Mobile: schedule UI, multi-select dates
Web: schedule overview for Admin/Leader
QA: complex date edge cases</t>
  </si>
  <si>
    <t xml:space="preserve">M7</t>
  </si>
  <si>
    <t xml:space="preserve">S6</t>
  </si>
  <si>
    <t xml:space="preserve">Approval Workflow Engine</t>
  </si>
  <si>
    <t xml:space="preserve">• Generic approval workflow (Schedule/OT/Leave/Visit)
• PG→Leader, Leader→BUH routing
• BUH email-link approval (no login) — signed token, expire 7d
• Hybrid: inline + detail view
• Reject with mandatory reason
• Admin override + audit
• Notification on approval/reject</t>
  </si>
  <si>
    <t xml:space="preserve">BE: Workflow Core integration or custom state machine, signed approval token, email link endpoint
Mobile: approval list/detail (Leader)
Web: approval list/detail (Admin override, BUH)
DevOps: SendGrid setup
QA: email link security testing</t>
  </si>
  <si>
    <t xml:space="preserve">M9</t>
  </si>
  <si>
    <t xml:space="preserve">S7</t>
  </si>
  <si>
    <t xml:space="preserve">Leave, OT &amp; integration with Approval</t>
  </si>
  <si>
    <t xml:space="preserve">• Create OT/Leave/Emergency leave requests
• Emergency leave tied to check-out
• Reason input
• Status tracking
• History view
• Wire all into Approval Workflow</t>
  </si>
  <si>
    <t xml:space="preserve">BE: Leave/OT entities, integration with Approval
Mobile: request creation screens
Web: Admin/BUH view
QA: end-to-end approval flows</t>
  </si>
  <si>
    <t xml:space="preserve">M8, M9</t>
  </si>
  <si>
    <t xml:space="preserve">S8</t>
  </si>
  <si>
    <t xml:space="preserve">Team Monitoring &amp; Audit Log</t>
  </si>
  <si>
    <t xml:space="preserve">• PG/Leader Online list (Mobile + Web)
• Status today (working/not-checked-in/checked-out/leave/no-schedule/review)
• Manual refresh + last-update
• Audit Log infrastructure (interceptors)
• Audit views (Admin)</t>
  </si>
  <si>
    <t xml:space="preserve">BE: real-time status query, SignalR optional, EF Core interceptor for audit
Mobile: PG Online screen (Leader)
Web: Team Monitoring + Audit Log UI
QA: status accuracy</t>
  </si>
  <si>
    <t xml:space="preserve">M12, M16</t>
  </si>
  <si>
    <t xml:space="preserve">S9</t>
  </si>
  <si>
    <t xml:space="preserve">Admin Review &amp; Notification (basic)</t>
  </si>
  <si>
    <t xml:space="preserve">• Admin Review queue (face fail, GPS&gt;300m, device change)
• Review actions: approve/reject/note/request more
• Effect on attendance status post-review
• In-app notification (basic)
• Push notification (FCM)
• Email notification (basic templates VI+EN)</t>
  </si>
  <si>
    <t xml:space="preserve">BE: Notification service, FCM integration, SendGrid templates, review action endpoints
Mobile: notification handling, badge
Web: review screens
QA: notification delivery testing</t>
  </si>
  <si>
    <t xml:space="preserve">M16, M14</t>
  </si>
  <si>
    <t xml:space="preserve">S10</t>
  </si>
  <si>
    <t xml:space="preserve">Phase 1A polish + UAT prep</t>
  </si>
  <si>
    <t xml:space="preserve">• Bug fixes from internal testing
• Dashboard basic (PG/Leader Online + check-in today)
• Attendance report basic
• i18n review pass (VI+EN strings)
• Performance baseline
• Internal release build</t>
  </si>
  <si>
    <t xml:space="preserve">BE: bug fixes, basic report queries
Mobile: bug fixes, i18n polish
Web: basic dashboard, i18n polish
QA: regression test cycle 1
DevOps: production deployment, monitoring</t>
  </si>
  <si>
    <t xml:space="preserve">M14, M15, all</t>
  </si>
  <si>
    <t xml:space="preserve">S11</t>
  </si>
  <si>
    <t xml:space="preserve">Phase 1A feedback + Product Master + Form Builder skeleton</t>
  </si>
  <si>
    <t xml:space="preserve">• 50% capacity: Phase 1A bug fixes from internal use
• Product Master CRUD (Admin)
• Form Engine: Form entity design
• Form Builder UI skeleton (drag-drop or config)
• Input type registry</t>
  </si>
  <si>
    <t xml:space="preserve">BE: Product entity, Form schema design (JSONB), 12 input types
Web: Form Builder UI (drag-drop with @dnd-kit)
Mobile: bug fixes from 1A
QA: 1A regression</t>
  </si>
  <si>
    <t xml:space="preserve">M4, M10</t>
  </si>
  <si>
    <t xml:space="preserve">S12</t>
  </si>
  <si>
    <t xml:space="preserve">Form Engine — Builder + Rules + Assignment</t>
  </si>
  <si>
    <t xml:space="preserve">• Full 12+ input types: text/number/single/multi/dropdown/datetime/image-upload/camera/file/product/store/brand-SKU
• Form rules config (all per PRD 6.10)
• Assignment to role/user/store/area/category/product
• Versioning on edit-after-publish</t>
  </si>
  <si>
    <t xml:space="preserve">BE: Form rules engine, assignment logic, version logic
Web: rules config UI, assignment UI
Mobile: form rendering engine
QA: rules combinations</t>
  </si>
  <si>
    <t xml:space="preserve">M10</t>
  </si>
  <si>
    <t xml:space="preserve">S13</t>
  </si>
  <si>
    <t xml:space="preserve">Form Engine — Rendering, Submit &amp; Offline draft</t>
  </si>
  <si>
    <t xml:space="preserve">• Mobile form rendering (all input types)
• Offline draft storage (Hive)
• Submit + retry on reconnect
• Form templates: stock report, market report, product photo, PC checklist, free report
• Scoring &amp; test logic
• Random questions/answers
• Edit-after-submit per config</t>
  </si>
  <si>
    <t xml:space="preserve">BE: form submission endpoint, scoring, idempotency keys
Mobile: form renderer, offline draft (Hive), sync logic
Web: form result viewer
QA: offline scenarios, slow network</t>
  </si>
  <si>
    <t xml:space="preserve">S14</t>
  </si>
  <si>
    <t xml:space="preserve">Form templates remaining + Visit Plan</t>
  </si>
  <si>
    <t xml:space="preserve">• Form: Survey, Training, Knowledge Test
• Visit Plan list/create/detail (Mobile Leader)
• BUH approval (web + email link)
• Post-visit report via Form Engine
• Visit Plan states</t>
  </si>
  <si>
    <t xml:space="preserve">BE: visit plan entity, integration with Form Engine
Mobile: visit plan screens (Leader)
Web: BUH approval screens
QA: end-to-end visit flow</t>
  </si>
  <si>
    <t xml:space="preserve">M10, M11</t>
  </si>
  <si>
    <t xml:space="preserve">S15</t>
  </si>
  <si>
    <t xml:space="preserve">Document Center + Notification full</t>
  </si>
  <si>
    <t xml:space="preserve">• Public/Private folders
• Admin upload + assignment
• PDF/image/text support
• Search by name
• Payslip as private file per user
• Notification: all event types per PRD 6.14
• Read confirmation for important news
• Badge logic</t>
  </si>
  <si>
    <t xml:space="preserve">BE: Document entity, S3/MinIO integration, signed URL, all notification events
Mobile: document viewer, news with read confirm
Web: document upload + news management
QA: file security, signed URL expiry</t>
  </si>
  <si>
    <t xml:space="preserve">M13, M14</t>
  </si>
  <si>
    <t xml:space="preserve">S16</t>
  </si>
  <si>
    <t xml:space="preserve">Dashboard &amp; Reports full + Export</t>
  </si>
  <si>
    <t xml:space="preserve">• All Phase 1 reports per PRD 6.15:
  - Attendance, anomalies, face fail, GPS violation, fake GPS, schedule, leave/OT, pending approval, form submission, form pending, visit plan, test/survey results
• Export per report (CSV/Excel)
• Dashboard widgets</t>
  </si>
  <si>
    <t xml:space="preserve">BE: report queries (optimized), export service (ClosedXML)
Web: report screens, charts (Recharts), filters, export buttons
QA: export accuracy, large dataset performance</t>
  </si>
  <si>
    <t xml:space="preserve">M15</t>
  </si>
  <si>
    <t xml:space="preserve">S17</t>
  </si>
  <si>
    <t xml:space="preserve">Hardening + Performance + Security audit</t>
  </si>
  <si>
    <t xml:space="preserve">• Performance pass (BE: queries, indexes; Mobile: scroll perf; Web: bundle size)
• Security review (OWASP top 10)
• Penetration test self-check
• Load testing baseline
• i18n full review
• Documentation update
• Production runbook</t>
  </si>
  <si>
    <t xml:space="preserve">BE: query optimization, indexes, rate limiting, CSP
Mobile: profile mode test
Web: lighthouse pass
DevOps: backup strategy, monitoring alerts
QA: load test (k6/Locust)</t>
  </si>
  <si>
    <t xml:space="preserve">all</t>
  </si>
  <si>
    <t xml:space="preserve">S18</t>
  </si>
  <si>
    <t xml:space="preserve">UAT + acceptance gate + bug fix only</t>
  </si>
  <si>
    <t xml:space="preserve">• Full 35 acceptance criteria walkthrough with stakeholders
• Bug fix only (NO new features)
• User acceptance signatures
• Final production release
• Handover documentation
• Training materials for end users</t>
  </si>
  <si>
    <t xml:space="preserve">All hands: bug triage and fix
QA: full regression
DevOps: production release
PM dev: stakeholder coordination, acceptance docs</t>
  </si>
  <si>
    <t xml:space="preserve">Total Sprint 0 + 1A</t>
  </si>
  <si>
    <t xml:space="preserve">Total Phase 1B</t>
  </si>
  <si>
    <t xml:space="preserve">GRAND TOTAL</t>
  </si>
  <si>
    <t xml:space="preserve">NOTE on dev-days</t>
  </si>
  <si>
    <t xml:space="preserve">• Dev-days là tổng man-day cho TẤT CẢ work (BE + FE + Mobile + DevOps + QA) trong sprint đó.</t>
  </si>
  <si>
    <t xml:space="preserve">• Với 2 devs × 22 ngày × 80% (sau khi trừ PM 20% và overhead) ≈ 35 dev-days/sprint capacity.</t>
  </si>
  <si>
    <t xml:space="preserve">• Numbers in BLUE are direct inputs - bạn có thể chỉnh để re-estimate.</t>
  </si>
  <si>
    <t xml:space="preserve">• Số ngày đã include buffer 20% cho risk. Nếu mọi thứ smooth, có thể nhanh hơn.</t>
  </si>
  <si>
    <t xml:space="preserve">• Story points dùng Fibonacci: 1,2,3,5,8,13 cho từng task. Tổng/sprint ≈ 16-26.</t>
  </si>
  <si>
    <t xml:space="preserve">TIMELINE — Gantt view (each column = 1 week)</t>
  </si>
  <si>
    <t xml:space="preserve">Focus</t>
  </si>
  <si>
    <t xml:space="preserve">Start (wk)</t>
  </si>
  <si>
    <t xml:space="preserve">End (wk)</t>
  </si>
  <si>
    <t xml:space="preserve">W1</t>
  </si>
  <si>
    <t xml:space="preserve">W2</t>
  </si>
  <si>
    <t xml:space="preserve">W3</t>
  </si>
  <si>
    <t xml:space="preserve">W4</t>
  </si>
  <si>
    <t xml:space="preserve">W5</t>
  </si>
  <si>
    <t xml:space="preserve">W6</t>
  </si>
  <si>
    <t xml:space="preserve">W7</t>
  </si>
  <si>
    <t xml:space="preserve">W8</t>
  </si>
  <si>
    <t xml:space="preserve">W9</t>
  </si>
  <si>
    <t xml:space="preserve">W10</t>
  </si>
  <si>
    <t xml:space="preserve">W11</t>
  </si>
  <si>
    <t xml:space="preserve">W12</t>
  </si>
  <si>
    <t xml:space="preserve">W13</t>
  </si>
  <si>
    <t xml:space="preserve">W14</t>
  </si>
  <si>
    <t xml:space="preserve">W15</t>
  </si>
  <si>
    <t xml:space="preserve">W16</t>
  </si>
  <si>
    <t xml:space="preserve">W17</t>
  </si>
  <si>
    <t xml:space="preserve">W18</t>
  </si>
  <si>
    <t xml:space="preserve">W19</t>
  </si>
  <si>
    <t xml:space="preserve">W20</t>
  </si>
  <si>
    <t xml:space="preserve">W21</t>
  </si>
  <si>
    <t xml:space="preserve">W22</t>
  </si>
  <si>
    <t xml:space="preserve">Identity &amp; Device</t>
  </si>
  <si>
    <t xml:space="preserve">Org &amp; Assignment</t>
  </si>
  <si>
    <t xml:space="preserve">Attendance core</t>
  </si>
  <si>
    <t xml:space="preserve">Team Monitor + Audit</t>
  </si>
  <si>
    <t xml:space="preserve">Admin Review + Notif</t>
  </si>
  <si>
    <t xml:space="preserve">1A Polish + Internal</t>
  </si>
  <si>
    <t xml:space="preserve">★ MILESTONE: Phase 1A Internal Release</t>
  </si>
  <si>
    <t xml:space="preserve">★</t>
  </si>
  <si>
    <t xml:space="preserve">W23</t>
  </si>
  <si>
    <t xml:space="preserve">W24</t>
  </si>
  <si>
    <t xml:space="preserve">W25</t>
  </si>
  <si>
    <t xml:space="preserve">W26</t>
  </si>
  <si>
    <t xml:space="preserve">W27</t>
  </si>
  <si>
    <t xml:space="preserve">W28</t>
  </si>
  <si>
    <t xml:space="preserve">W29</t>
  </si>
  <si>
    <t xml:space="preserve">W30</t>
  </si>
  <si>
    <t xml:space="preserve">W31</t>
  </si>
  <si>
    <t xml:space="preserve">W32</t>
  </si>
  <si>
    <t xml:space="preserve">W33</t>
  </si>
  <si>
    <t xml:space="preserve">W34</t>
  </si>
  <si>
    <t xml:space="preserve">W35</t>
  </si>
  <si>
    <t xml:space="preserve">W36</t>
  </si>
  <si>
    <t xml:space="preserve">W37</t>
  </si>
  <si>
    <t xml:space="preserve">W38</t>
  </si>
  <si>
    <t xml:space="preserve">Feedback + Product + Form skel</t>
  </si>
  <si>
    <t xml:space="preserve">Form Builder + Rules</t>
  </si>
  <si>
    <t xml:space="preserve">Form Render + Offline</t>
  </si>
  <si>
    <t xml:space="preserve">Form templates + Visit Plan</t>
  </si>
  <si>
    <t xml:space="preserve">Document + Notif full</t>
  </si>
  <si>
    <t xml:space="preserve">Dashboard + Reports + Export</t>
  </si>
  <si>
    <t xml:space="preserve">Hardening + Security</t>
  </si>
  <si>
    <t xml:space="preserve">UAT + Acceptance Gate</t>
  </si>
  <si>
    <t xml:space="preserve">★ MILESTONE: Phase 1 Acceptance Gate (full nghiệm thu)</t>
  </si>
  <si>
    <t xml:space="preserve">Setup phase</t>
  </si>
  <si>
    <t xml:space="preserve">Phase 1A</t>
  </si>
  <si>
    <t xml:space="preserve">Phase 1B</t>
  </si>
  <si>
    <t xml:space="preserve">Milestone</t>
  </si>
  <si>
    <t xml:space="preserve">RESOURCE ALLOCATION</t>
  </si>
  <si>
    <t xml:space="preserve">TEAM MEMBERS</t>
  </si>
  <si>
    <t xml:space="preserve">Role</t>
  </si>
  <si>
    <t xml:space="preserve">Person</t>
  </si>
  <si>
    <t xml:space="preserve">Dedicated %</t>
  </si>
  <si>
    <t xml:space="preserve">Sprint capacity (days)</t>
  </si>
  <si>
    <t xml:space="preserve">Phase 1 capacity (days)</t>
  </si>
  <si>
    <t xml:space="preserve">Responsibilities</t>
  </si>
  <si>
    <t xml:space="preserve">Senior Dev #1 (Tech Lead + PM)</t>
  </si>
  <si>
    <t xml:space="preserve">TBD</t>
  </si>
  <si>
    <t xml:space="preserve">Architecture, BE-lead, code review, PM duties (planning, stakeholder), DevOps</t>
  </si>
  <si>
    <t xml:space="preserve">Senior Dev #2 (Full-stack)</t>
  </si>
  <si>
    <t xml:space="preserve">Full-stack across BE/Web/Mobile as needed, QA, documentation</t>
  </si>
  <si>
    <t xml:space="preserve">TOTAL TEAM CAPACITY</t>
  </si>
  <si>
    <t xml:space="preserve">Capacity check</t>
  </si>
  <si>
    <t xml:space="preserve">Required dev-days (from Sprints)</t>
  </si>
  <si>
    <t xml:space="preserve">Available capacity (above)</t>
  </si>
  <si>
    <t xml:space="preserve">Utilization %</t>
  </si>
  <si>
    <t xml:space="preserve">EXTERNAL / FREELANCE NEEDS</t>
  </si>
  <si>
    <t xml:space="preserve">When</t>
  </si>
  <si>
    <t xml:space="preserve">Effort (days)</t>
  </si>
  <si>
    <t xml:space="preserve">Day rate (M VND)</t>
  </si>
  <si>
    <t xml:space="preserve">Total cost (M VND)</t>
  </si>
  <si>
    <t xml:space="preserve">Notes</t>
  </si>
  <si>
    <t xml:space="preserve">UI/UX Designer (freelance, optional)</t>
  </si>
  <si>
    <t xml:space="preserve">Sprint 0-1</t>
  </si>
  <si>
    <t xml:space="preserve">Nếu cần UI polish ban đầu — có thể skip vì dev tự design</t>
  </si>
  <si>
    <t xml:space="preserve">Security audit (freelance)</t>
  </si>
  <si>
    <t xml:space="preserve">Sprint 17</t>
  </si>
  <si>
    <t xml:space="preserve">Pen test self-check trước nghiệm thu</t>
  </si>
  <si>
    <t xml:space="preserve">Load test consultant</t>
  </si>
  <si>
    <t xml:space="preserve">Optional, có thể tự làm với k6/Locust</t>
  </si>
  <si>
    <t xml:space="preserve">App Store submission help</t>
  </si>
  <si>
    <t xml:space="preserve">Sprint 18</t>
  </si>
  <si>
    <t xml:space="preserve">Optional — nếu chưa từng submit app</t>
  </si>
  <si>
    <t xml:space="preserve">TOTAL EXTERNAL (M VND)</t>
  </si>
  <si>
    <t xml:space="preserve">COST BREAKDOWN — Phase 1 Total</t>
  </si>
  <si>
    <t xml:space="preserve">All amounts in Million VND (M VND) unless stated. Inputs in BLUE. Yellow = key assumption.</t>
  </si>
  <si>
    <t xml:space="preserve">ASSUMPTIONS (edit blue cells)</t>
  </si>
  <si>
    <t xml:space="preserve">Senior dev monthly salary (gross)</t>
  </si>
  <si>
    <t xml:space="preserve">M VND/month, Vietnam market 2026</t>
  </si>
  <si>
    <t xml:space="preserve">Cost-to-company multiplier</t>
  </si>
  <si>
    <t xml:space="preserve">Multiplier for BHXH, BHYT, thuế TNCN coverage, benefits</t>
  </si>
  <si>
    <t xml:space="preserve">Cost per dev / month (CTC)</t>
  </si>
  <si>
    <t xml:space="preserve">Cost to company (M VND/month)</t>
  </si>
  <si>
    <t xml:space="preserve">Number of devs</t>
  </si>
  <si>
    <t xml:space="preserve">Project duration (months)</t>
  </si>
  <si>
    <t xml:space="preserve">Including Sprint 0</t>
  </si>
  <si>
    <t xml:space="preserve">Effective working months</t>
  </si>
  <si>
    <t xml:space="preserve">Devs paid full time throughout</t>
  </si>
  <si>
    <t xml:space="preserve">1. PERSONNEL COST</t>
  </si>
  <si>
    <t xml:space="preserve">Item</t>
  </si>
  <si>
    <t xml:space="preserve">Monthly (M VND)</t>
  </si>
  <si>
    <t xml:space="preserve">Months</t>
  </si>
  <si>
    <t xml:space="preserve">Total (M VND)</t>
  </si>
  <si>
    <t xml:space="preserve">2 Senior devs (CTC)</t>
  </si>
  <si>
    <t xml:space="preserve">2 devs × cost/month × 10 months</t>
  </si>
  <si>
    <t xml:space="preserve">Subtotal Personnel</t>
  </si>
  <si>
    <t xml:space="preserve">2. INFRASTRUCTURE &amp; SERVICES</t>
  </si>
  <si>
    <t xml:space="preserve">VPS — Production (Vultr SG 8vCPU/16GB)</t>
  </si>
  <si>
    <t xml:space="preserve">Estimate ~$40/month</t>
  </si>
  <si>
    <t xml:space="preserve">VPS — Staging (smaller)</t>
  </si>
  <si>
    <t xml:space="preserve">~$20/month</t>
  </si>
  <si>
    <t xml:space="preserve">Domain + SSL (Caddy auto)</t>
  </si>
  <si>
    <t xml:space="preserve">~600k/year amortized</t>
  </si>
  <si>
    <t xml:space="preserve">PostgreSQL backups (object storage)</t>
  </si>
  <si>
    <t xml:space="preserve">S3 storage cho daily backups</t>
  </si>
  <si>
    <t xml:space="preserve">AWS S3 / MinIO for files</t>
  </si>
  <si>
    <t xml:space="preserve">Hoặc MinIO self-host miễn phí trên VPS</t>
  </si>
  <si>
    <t xml:space="preserve">Firebase Cloud Messaging</t>
  </si>
  <si>
    <t xml:space="preserve">FREE tier đủ dùng</t>
  </si>
  <si>
    <t xml:space="preserve">SendGrid / AWS SES email</t>
  </si>
  <si>
    <t xml:space="preserve">~100k-500k emails/month free, sau đó trả phí</t>
  </si>
  <si>
    <t xml:space="preserve">FPT.AI Face Recognition</t>
  </si>
  <si>
    <t xml:space="preserve">Estimate 500đ/verify × 3000 verifies/day = ~45k/day</t>
  </si>
  <si>
    <t xml:space="preserve">Sentry error monitoring</t>
  </si>
  <si>
    <t xml:space="preserve">Hoặc tự host miễn phí</t>
  </si>
  <si>
    <t xml:space="preserve">GitHub Team</t>
  </si>
  <si>
    <t xml:space="preserve">$4/user × 2</t>
  </si>
  <si>
    <t xml:space="preserve">Other tools (Notion, Figma, etc.)</t>
  </si>
  <si>
    <t xml:space="preserve">Productivity tools</t>
  </si>
  <si>
    <t xml:space="preserve">Subtotal Infrastructure</t>
  </si>
  <si>
    <t xml:space="preserve">3. ONE-TIME COSTS</t>
  </si>
  <si>
    <t xml:space="preserve">Amount (M VND)</t>
  </si>
  <si>
    <t xml:space="preserve">Apple Developer Account (yearly)</t>
  </si>
  <si>
    <t xml:space="preserve">$99/year</t>
  </si>
  <si>
    <t xml:space="preserve">Google Play Developer (one-time)</t>
  </si>
  <si>
    <t xml:space="preserve">$25 one-time</t>
  </si>
  <si>
    <t xml:space="preserve">Mac mini (refurbished, for iOS builds)</t>
  </si>
  <si>
    <t xml:space="preserve">Hoặc thuê MacInCloud ~1.5tr/tháng</t>
  </si>
  <si>
    <t xml:space="preserve">Test devices (1 iPhone + 1 Android low-end)</t>
  </si>
  <si>
    <t xml:space="preserve">Bắt buộc test face/GPS thật</t>
  </si>
  <si>
    <t xml:space="preserve">Development laptops (if not owned)</t>
  </si>
  <si>
    <t xml:space="preserve">Giả sử devs đã có laptop</t>
  </si>
  <si>
    <t xml:space="preserve">Subtotal One-time</t>
  </si>
  <si>
    <t xml:space="preserve">4. EXTERNAL / FREELANCE</t>
  </si>
  <si>
    <t xml:space="preserve">From 05_Resources</t>
  </si>
  <si>
    <t xml:space="preserve">Sum of external/freelance from Resources sheet</t>
  </si>
  <si>
    <t xml:space="preserve">Subtotal (1+2+3+4)</t>
  </si>
  <si>
    <t xml:space="preserve">Contingency %</t>
  </si>
  <si>
    <t xml:space="preserve">Buffer cho risk (recommend 10-20%)</t>
  </si>
  <si>
    <t xml:space="preserve">TOTAL PHASE 1 BUDGET (M VND)</t>
  </si>
  <si>
    <t xml:space="preserve">TOTAL in Billion VND</t>
  </si>
  <si>
    <t xml:space="preserve">USD/VND exchange rate</t>
  </si>
  <si>
    <t xml:space="preserve">TOTAL in USD</t>
  </si>
  <si>
    <t xml:space="preserve">SCENARIO ANALYSIS</t>
  </si>
  <si>
    <t xml:space="preserve">Scenario</t>
  </si>
  <si>
    <t xml:space="preserve">Duration (months)</t>
  </si>
  <si>
    <t xml:space="preserve">Personnel adj factor</t>
  </si>
  <si>
    <t xml:space="preserve">Total est (M VND)</t>
  </si>
  <si>
    <t xml:space="preserve">Best case (smooth, no major issues)</t>
  </si>
  <si>
    <t xml:space="preserve">Base case (current plan)</t>
  </si>
  <si>
    <t xml:space="preserve">Worst case (major risk materializes)</t>
  </si>
  <si>
    <t xml:space="preserve">RISK REGISTER</t>
  </si>
  <si>
    <t xml:space="preserve">#</t>
  </si>
  <si>
    <t xml:space="preserve">Category</t>
  </si>
  <si>
    <t xml:space="preserve">Risk description</t>
  </si>
  <si>
    <t xml:space="preserve">Impact (1-5)</t>
  </si>
  <si>
    <t xml:space="preserve">Probability (1-5)</t>
  </si>
  <si>
    <t xml:space="preserve">Score</t>
  </si>
  <si>
    <t xml:space="preserve">Mitigation</t>
  </si>
  <si>
    <t xml:space="preserve">Owner</t>
  </si>
  <si>
    <t xml:space="preserve">Tech</t>
  </si>
  <si>
    <t xml:space="preserve">Face Recognition vendor accuracy không đủ tốt cho ánh sáng VN (cửa hàng tối, ngoài trời)</t>
  </si>
  <si>
    <t xml:space="preserve">Test 2-3 vendors (FPT.AI, AWS Rekognition, VNG) trong Sprint 0; có fallback selfie + Admin review</t>
  </si>
  <si>
    <t xml:space="preserve">Tech Lead</t>
  </si>
  <si>
    <t xml:space="preserve">Fake GPS detection cuộc đua không có điểm dừng — luôn có app/root bypass mới</t>
  </si>
  <si>
    <t xml:space="preserve">Accept giới hạn: dùng plugin trust_location + EXIF check + selfie cross-verify; clear policy với users</t>
  </si>
  <si>
    <t xml:space="preserve">Form Engine versioning logic phức tạp — bug có thể làm mất data</t>
  </si>
  <si>
    <t xml:space="preserve">Design carefully, write extensive tests Sprint 12; immutable form versions trong DB; idempotency keys</t>
  </si>
  <si>
    <t xml:space="preserve">Dev #2</t>
  </si>
  <si>
    <t xml:space="preserve">Offline draft sync conflicts (user submit nhiều version từ nhiều devices)</t>
  </si>
  <si>
    <t xml:space="preserve">Hive với timestamp-based conflict resolution; force single-device login đã giảm risk này nhiều</t>
  </si>
  <si>
    <t xml:space="preserve">BUH email-link approval bị forward → người khác duyệt nhầm</t>
  </si>
  <si>
    <t xml:space="preserve">Token signed với SHORT expiry (24h); log IP/user-agent; 2FA optional sau Phase 1</t>
  </si>
  <si>
    <t xml:space="preserve">PostgreSQL performance khi scale (5000+ PG check-in cùng giờ sáng)</t>
  </si>
  <si>
    <t xml:space="preserve">Index sớm; partitioning attendance table by month; Redis cache cho online status; load test Sprint 17</t>
  </si>
  <si>
    <t xml:space="preserve">Apple App Store reject vì face recognition / GPS tracking privacy concerns</t>
  </si>
  <si>
    <t xml:space="preserve">Privacy policy chi tiết Sprint 0; clear consent UI; submit early test build qua TestFlight Sprint 4</t>
  </si>
  <si>
    <t xml:space="preserve">Team</t>
  </si>
  <si>
    <t xml:space="preserve">1 dev nghỉ ốm/nghỉ việc giữa dự án</t>
  </si>
  <si>
    <t xml:space="preserve">Documentation thorough mỗi sprint; pair programming periodic; code review mọi PR</t>
  </si>
  <si>
    <t xml:space="preserve">Both</t>
  </si>
  <si>
    <t xml:space="preserve">Dev kiêm PM bị quá tải, mất 30%+ capacity thực tế (không phải 20%)</t>
  </si>
  <si>
    <t xml:space="preserve">Build buffer 20% vào estimate; weekly capacity review; có thể thuê PM part-time sau Sprint 6 nếu cần</t>
  </si>
  <si>
    <t xml:space="preserve">Skill gap với Flutter / SignalR / Workflow Core nếu không quen</t>
  </si>
  <si>
    <t xml:space="preserve">Sprint 0 dành 3-5 ngày cho training/PoC; chọn libraries có docs/community lớn</t>
  </si>
  <si>
    <t xml:space="preserve">Scope</t>
  </si>
  <si>
    <t xml:space="preserve">Stakeholder yêu cầu thêm feature trong Phase 1 (scope creep)</t>
  </si>
  <si>
    <t xml:space="preserve">Strong change control: change request → impact assessment → đưa vào Phase 2 nếu không critical</t>
  </si>
  <si>
    <t xml:space="preserve">PM dev</t>
  </si>
  <si>
    <t xml:space="preserve">PRD ambiguity: Form Engine conditional logic, custom report builder không rõ scope</t>
  </si>
  <si>
    <t xml:space="preserve">List ambiguities trong Sprint 0 và clarify với stakeholder; chốt scope trước khi build</t>
  </si>
  <si>
    <t xml:space="preserve">Phase 1A feedback yêu cầu rework lớn vào 1B</t>
  </si>
  <si>
    <t xml:space="preserve">Limit Phase 1A internal release to small group; collect feedback có cấu trúc; triage carefully</t>
  </si>
  <si>
    <t xml:space="preserve">Infra</t>
  </si>
  <si>
    <t xml:space="preserve">VPS bị tấn công DDoS / downtime gây ảnh hưởng chấm công</t>
  </si>
  <si>
    <t xml:space="preserve">Cloudflare proxy (miễn phí); HA setup sau Phase 1; daily backups; runbook</t>
  </si>
  <si>
    <t xml:space="preserve">Chi phí face recognition vượt budget nếu volume cao</t>
  </si>
  <si>
    <t xml:space="preserve">Theo dõi monthly; có thể switch self-host (face_recognition Python lib) nếu cần</t>
  </si>
  <si>
    <t xml:space="preserve">Business</t>
  </si>
  <si>
    <t xml:space="preserve">Mức ROI không đạt expectation → cắt Phase 1B</t>
  </si>
  <si>
    <t xml:space="preserve">Phase 1A đứng độc lập được; có giá trị ngay cả khi Phase 1B bị cắt</t>
  </si>
  <si>
    <t xml:space="preserve">Stakeholder</t>
  </si>
  <si>
    <t xml:space="preserve">Compliance</t>
  </si>
  <si>
    <t xml:space="preserve">Lưu trữ ảnh selfie/face data — GDPR/Vietnam data privacy law</t>
  </si>
  <si>
    <t xml:space="preserve">Encryption at rest; retention policy (xóa sau 90 ngày); user consent rõ ràng</t>
  </si>
  <si>
    <t xml:space="preserve">Acceptance</t>
  </si>
  <si>
    <t xml:space="preserve">Stakeholder không sign-off 35 acceptance criteria vì interpretation khác</t>
  </si>
  <si>
    <t xml:space="preserve">Detailed acceptance criteria doc với screenshots/videos sample Sprint 17; demo sớm</t>
  </si>
  <si>
    <t xml:space="preserve">Score = Impact × Probability</t>
  </si>
  <si>
    <t xml:space="preserve">≥15 = Critical</t>
  </si>
  <si>
    <t xml:space="preserve">10-14 = High</t>
  </si>
  <si>
    <t xml:space="preserve">5-9 = Medium</t>
  </si>
  <si>
    <t xml:space="preserve">&lt;5 = Low</t>
  </si>
  <si>
    <t xml:space="preserve">TECH DECISIONS &amp; RATIONALE</t>
  </si>
  <si>
    <t xml:space="preserve">Area</t>
  </si>
  <si>
    <t xml:space="preserve">Decision</t>
  </si>
  <si>
    <t xml:space="preserve">Alternatives considered</t>
  </si>
  <si>
    <t xml:space="preserve">Rationale</t>
  </si>
  <si>
    <t xml:space="preserve">Backend framework</t>
  </si>
  <si>
    <t xml:space="preserve">.NET 8 (LTS) + ASP.NET Core</t>
  </si>
  <si>
    <t xml:space="preserve">Python (FastAPI/Django), Node.js (NestJS), Go</t>
  </si>
  <si>
    <t xml:space="preserve">Devs đã biết C#. .NET 8 chạy native trên Linux performance tốt. Hangfire, SignalR, EF Core mature cho yêu cầu approval workflow + real-time + audit log.</t>
  </si>
  <si>
    <t xml:space="preserve">Database</t>
  </si>
  <si>
    <t xml:space="preserve">PostgreSQL 16</t>
  </si>
  <si>
    <t xml:space="preserve">MySQL, SQL Server, MongoDB</t>
  </si>
  <si>
    <t xml:space="preserve">Open-source, JSONB cho Form Engine schema flexibility, mature ecosystem, free.</t>
  </si>
  <si>
    <t xml:space="preserve">Cache &amp; Queue</t>
  </si>
  <si>
    <t xml:space="preserve">Redis 7</t>
  </si>
  <si>
    <t xml:space="preserve">Memcached, RabbitMQ</t>
  </si>
  <si>
    <t xml:space="preserve">Cache cho online status + Hangfire job queue + session. 1 tool 3 use cases.</t>
  </si>
  <si>
    <t xml:space="preserve">Background jobs</t>
  </si>
  <si>
    <t xml:space="preserve">Hangfire</t>
  </si>
  <si>
    <t xml:space="preserve">Quartz.NET, custom</t>
  </si>
  <si>
    <t xml:space="preserve">Built-in dashboard UI, persisted jobs, retry logic, free. Critical cho notification + form deadline checks.</t>
  </si>
  <si>
    <t xml:space="preserve">Real-time</t>
  </si>
  <si>
    <t xml:space="preserve">SignalR</t>
  </si>
  <si>
    <t xml:space="preserve">WebSocket native, Socket.io via Node sidecar</t>
  </si>
  <si>
    <t xml:space="preserve">Built into .NET, simple. Cho PG Online status updates.</t>
  </si>
  <si>
    <t xml:space="preserve">Web Admin framework</t>
  </si>
  <si>
    <t xml:space="preserve">Next.js 14 (App Router)</t>
  </si>
  <si>
    <t xml:space="preserve">Vite + React, Angular, Nuxt/Vue</t>
  </si>
  <si>
    <t xml:space="preserve">Mature, large community, Ant Design Pro template tốt cho admin dashboard, TypeScript first.</t>
  </si>
  <si>
    <t xml:space="preserve">UI library Web</t>
  </si>
  <si>
    <t xml:space="preserve">Ant Design Pro v5</t>
  </si>
  <si>
    <t xml:space="preserve">Material UI, Chakra, custom Tailwind</t>
  </si>
  <si>
    <t xml:space="preserve">Built specifically cho admin dashboards. ProTable, ProForm, ProDescriptions tiết kiệm hàng tháng dev.</t>
  </si>
  <si>
    <t xml:space="preserve">State management Web</t>
  </si>
  <si>
    <t xml:space="preserve">TanStack Query + Zustand</t>
  </si>
  <si>
    <t xml:space="preserve">Redux Toolkit, Recoil</t>
  </si>
  <si>
    <t xml:space="preserve">TanStack cho server state, Zustand cho client state. Simple, no boilerplate.</t>
  </si>
  <si>
    <t xml:space="preserve">Mobile framework</t>
  </si>
  <si>
    <t xml:space="preserve">Flutter 3.x</t>
  </si>
  <si>
    <t xml:space="preserve">React Native, native iOS+Android</t>
  </si>
  <si>
    <t xml:space="preserve">Đã chốt. 1 codebase, performance tốt, camera/GPS plugins mature.</t>
  </si>
  <si>
    <t xml:space="preserve">Mobile state</t>
  </si>
  <si>
    <t xml:space="preserve">Riverpod 2.x</t>
  </si>
  <si>
    <t xml:space="preserve">Bloc, Provider, GetX</t>
  </si>
  <si>
    <t xml:space="preserve">Type-safe, testable, không cần BuildContext, ít boilerplate hơn Bloc.</t>
  </si>
  <si>
    <t xml:space="preserve">Mobile networking</t>
  </si>
  <si>
    <t xml:space="preserve">Dio + Retrofit (Flutter)</t>
  </si>
  <si>
    <t xml:space="preserve">http package</t>
  </si>
  <si>
    <t xml:space="preserve">Interceptors cho auth/logging, request cancellation, file upload progress.</t>
  </si>
  <si>
    <t xml:space="preserve">Mobile local storage</t>
  </si>
  <si>
    <t xml:space="preserve">Hive + Hive Generator</t>
  </si>
  <si>
    <t xml:space="preserve">SQLite (sqflite), shared_preferences</t>
  </si>
  <si>
    <t xml:space="preserve">Fast key-value, type-safe với code gen, đủ cho offline draft.</t>
  </si>
  <si>
    <t xml:space="preserve">Authentication</t>
  </si>
  <si>
    <t xml:space="preserve">Custom JWT + Refresh tokens</t>
  </si>
  <si>
    <t xml:space="preserve">Auth0, Keycloak, IdentityServer</t>
  </si>
  <si>
    <t xml:space="preserve">Internal product 1 customer, custom đơn giản hơn. Considerable: Keycloak nếu cần SSO sau.</t>
  </si>
  <si>
    <t xml:space="preserve">FPT.AI Face (primary), tested in S0</t>
  </si>
  <si>
    <t xml:space="preserve">AWS Rekognition, Azure Face, self-host (DeepFace, face_recognition)</t>
  </si>
  <si>
    <t xml:space="preserve">FPT.AI: VN-tuned, rẻ hơn (~500đ/verify), low latency cho VN. Backup: AWS Rekognition.</t>
  </si>
  <si>
    <t xml:space="preserve">Fake GPS detection</t>
  </si>
  <si>
    <t xml:space="preserve">Flutter plugin trust_location + custom checks</t>
  </si>
  <si>
    <t xml:space="preserve">MDM solution, native code</t>
  </si>
  <si>
    <t xml:space="preserve">Plugin check mock_location flag (Android) + JailMonkey (iOS jailbreak). Accept limitations.</t>
  </si>
  <si>
    <t xml:space="preserve">Firebase Cloud Messaging (FCM)</t>
  </si>
  <si>
    <t xml:space="preserve">OneSignal, AWS SNS</t>
  </si>
  <si>
    <t xml:space="preserve">Free, universal iOS+Android, mature SDK Flutter.</t>
  </si>
  <si>
    <t xml:space="preserve">SendGrid (start), AWS SES (scale)</t>
  </si>
  <si>
    <t xml:space="preserve">Mailgun, self-host Postfix</t>
  </si>
  <si>
    <t xml:space="preserve">SendGrid: 100 emails/day free, easy templates. Switch SES khi volume tăng.</t>
  </si>
  <si>
    <t xml:space="preserve">MinIO self-host on VPS</t>
  </si>
  <si>
    <t xml:space="preserve">AWS S3, Cloudflare R2</t>
  </si>
  <si>
    <t xml:space="preserve">Self-host miễn phí cho phase 1 (1 customer scale). S3-compatible API, switch S3 sau dễ.</t>
  </si>
  <si>
    <t xml:space="preserve">Reverse proxy</t>
  </si>
  <si>
    <t xml:space="preserve">Caddy</t>
  </si>
  <si>
    <t xml:space="preserve">Nginx, Traefik</t>
  </si>
  <si>
    <t xml:space="preserve">Auto SSL renewal, config đơn giản, đủ tính năng cho team nhỏ.</t>
  </si>
  <si>
    <t xml:space="preserve">Containerization</t>
  </si>
  <si>
    <t xml:space="preserve">Docker + Docker Compose</t>
  </si>
  <si>
    <t xml:space="preserve">Kubernetes, Podman, bare metal</t>
  </si>
  <si>
    <t xml:space="preserve">Đủ cho 1-3 VPS. K8s overkill cho team 2 devs.</t>
  </si>
  <si>
    <t xml:space="preserve">CI/CD</t>
  </si>
  <si>
    <t xml:space="preserve">GitHub Actions</t>
  </si>
  <si>
    <t xml:space="preserve">GitLab CI, Jenkins, CircleCI</t>
  </si>
  <si>
    <t xml:space="preserve">Repo trên GitHub, free tier đủ, marketplace lớn.</t>
  </si>
  <si>
    <t xml:space="preserve">Monitoring</t>
  </si>
  <si>
    <t xml:space="preserve">Sentry (errors) + Uptime Kuma (uptime)</t>
  </si>
  <si>
    <t xml:space="preserve">Datadog, New Relic, Grafana Cloud</t>
  </si>
  <si>
    <t xml:space="preserve">Sentry free tier OK; Uptime Kuma self-host miễn phí.</t>
  </si>
  <si>
    <t xml:space="preserve">Logging</t>
  </si>
  <si>
    <t xml:space="preserve">Serilog → file + Sentry</t>
  </si>
  <si>
    <t xml:space="preserve">ELK stack, Loki</t>
  </si>
  <si>
    <t xml:space="preserve">Serilog standard cho .NET; ELK overkill cho 1 server.</t>
  </si>
  <si>
    <t xml:space="preserve">API documentation</t>
  </si>
  <si>
    <t xml:space="preserve">Swagger/OpenAPI auto-generated</t>
  </si>
  <si>
    <t xml:space="preserve">Postman collection, manual</t>
  </si>
  <si>
    <t xml:space="preserve">.NET built-in Swashbuckle, miễn phí.</t>
  </si>
  <si>
    <t xml:space="preserve">Testing BE</t>
  </si>
  <si>
    <t xml:space="preserve">xUnit + Moq + Testcontainers</t>
  </si>
  <si>
    <t xml:space="preserve">NUnit, MSTest</t>
  </si>
  <si>
    <t xml:space="preserve">Industry standard. Testcontainers cho integration test với real PostgreSQL.</t>
  </si>
  <si>
    <t xml:space="preserve">Testing Mobile</t>
  </si>
  <si>
    <t xml:space="preserve">flutter_test + integration_test</t>
  </si>
  <si>
    <t xml:space="preserve">Built-in.</t>
  </si>
  <si>
    <t xml:space="preserve">Testing Web</t>
  </si>
  <si>
    <t xml:space="preserve">Vitest + Playwright (E2E)</t>
  </si>
  <si>
    <t xml:space="preserve">Jest + Cypress</t>
  </si>
  <si>
    <t xml:space="preserve">Vitest nhanh hơn Jest; Playwright multi-browser, mạnh hơn Cypress.</t>
  </si>
  <si>
    <t xml:space="preserve">i18n strategy</t>
  </si>
  <si>
    <t xml:space="preserve">Resource files (.resx) BE, react-i18next Web, ARB Flutter</t>
  </si>
  <si>
    <t xml:space="preserve">Single i18n service</t>
  </si>
  <si>
    <t xml:space="preserve">Native solutions per platform, integrate dễ hơn.</t>
  </si>
  <si>
    <t xml:space="preserve">Multi-tenancy</t>
  </si>
  <si>
    <t xml:space="preserve">NOT IMPLEMENTED (single tenant)</t>
  </si>
  <si>
    <t xml:space="preserve">Schema-per-tenant, row-level</t>
  </si>
  <si>
    <t xml:space="preserve">Internal product 1 customer. Có thể add sau nếu cần SaaS.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</si>
</sst>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General"/>
    <numFmt numFmtId="166" formatCode="0%"/>
    <numFmt numFmtId="167" formatCode="0.0"/>
    <numFmt numFmtId="168" formatCode="0.00"/>
    <numFmt numFmtId="169" formatCode="0.000"/>
    <numFmt numFmtId="170" formatCode="#,##0"/>
    <numFmt numFmtId="171" formatCode="\$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DDEBF7"/>
        <bgColor rgb="FFCFE2F3"/>
      </patternFill>
    </fill>
    <fill>
      <patternFill patternType="solid">
        <fgColor rgb="FF1F4E78"/>
        <bgColor rgb="FF003366"/>
      </patternFill>
    </fill>
    <fill>
      <patternFill patternType="solid">
        <fgColor rgb="FFE06666"/>
        <bgColor rgb="FFFF6600"/>
      </patternFill>
    </fill>
    <fill>
      <patternFill patternType="solid">
        <fgColor rgb="FFD9EAD3"/>
        <bgColor rgb="FFDDEBF7"/>
      </patternFill>
    </fill>
    <fill>
      <patternFill patternType="solid">
        <fgColor rgb="FFF6B26B"/>
        <bgColor rgb="FFFFD966"/>
      </patternFill>
    </fill>
    <fill>
      <patternFill patternType="solid">
        <fgColor rgb="FFCFE2F3"/>
        <bgColor rgb="FFDDEBF7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D966"/>
      </patternFill>
    </fill>
    <fill>
      <patternFill patternType="solid">
        <fgColor rgb="FFEAD1DC"/>
        <bgColor rgb="FFCCCCCC"/>
      </patternFill>
    </fill>
    <fill>
      <patternFill patternType="solid">
        <fgColor rgb="FFFFD966"/>
        <bgColor rgb="FFFFE5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right" vertical="center" textRotation="0" wrapText="true" indent="0" shrinkToFit="false"/>
      <protection locked="true" hidden="false"/>
    </xf>
    <xf numFmtId="167" fontId="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9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14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0" fillId="0" borderId="1" xfId="0" applyFont="false" applyBorder="true" applyAlignment="true" applyProtection="false">
      <alignment horizontal="right" vertical="center" textRotation="0" wrapText="tru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3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70" fontId="1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E06666"/>
        </patternFill>
      </fill>
    </dxf>
    <dxf>
      <fill>
        <patternFill>
          <bgColor rgb="FFF6B26B"/>
        </patternFill>
      </fill>
    </dxf>
    <dxf>
      <fill>
        <patternFill>
          <bgColor rgb="FFFFE599"/>
        </patternFill>
      </fill>
    </dxf>
    <dxf>
      <fill>
        <patternFill>
          <bgColor rgb="FFD9EA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DDEBF7"/>
      <rgbColor rgb="FF660066"/>
      <rgbColor rgb="FFE06666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D1DC"/>
      <rgbColor rgb="FFD9EAD3"/>
      <rgbColor rgb="FFFFD966"/>
      <rgbColor rgb="FF99CCFF"/>
      <rgbColor rgb="FFF6B26B"/>
      <rgbColor rgb="FFCC99FF"/>
      <rgbColor rgb="FFFFE5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5"/>
    <col collapsed="false" customWidth="true" hidden="false" outlineLevel="0" max="3" min="3" style="0" width="60"/>
    <col collapsed="false" customWidth="true" hidden="false" outlineLevel="0" max="4" min="4" style="0" width="20"/>
  </cols>
  <sheetData>
    <row r="2" customFormat="false" ht="19.7" hidden="false" customHeight="false" outlineLevel="0" collapsed="false">
      <c r="B2" s="1" t="s">
        <v>0</v>
      </c>
      <c r="C2" s="1"/>
      <c r="D2" s="1"/>
    </row>
    <row r="3" customFormat="false" ht="15" hidden="false" customHeight="false" outlineLevel="0" collapsed="false">
      <c r="B3" s="2" t="s">
        <v>1</v>
      </c>
      <c r="C3" s="2"/>
      <c r="D3" s="2"/>
    </row>
    <row r="5" customFormat="false" ht="21.75" hidden="false" customHeight="true" outlineLevel="0" collapsed="false">
      <c r="B5" s="3" t="s">
        <v>2</v>
      </c>
      <c r="C5" s="3"/>
      <c r="D5" s="3"/>
    </row>
    <row r="6" customFormat="false" ht="21.75" hidden="false" customHeight="true" outlineLevel="0" collapsed="false">
      <c r="B6" s="4" t="s">
        <v>3</v>
      </c>
      <c r="C6" s="5" t="s">
        <v>4</v>
      </c>
      <c r="D6" s="5"/>
    </row>
    <row r="7" customFormat="false" ht="21.75" hidden="false" customHeight="true" outlineLevel="0" collapsed="false">
      <c r="B7" s="4" t="s">
        <v>5</v>
      </c>
      <c r="C7" s="5" t="s">
        <v>6</v>
      </c>
      <c r="D7" s="5"/>
    </row>
    <row r="8" customFormat="false" ht="21.75" hidden="false" customHeight="true" outlineLevel="0" collapsed="false">
      <c r="B8" s="4" t="s">
        <v>7</v>
      </c>
      <c r="C8" s="5" t="s">
        <v>8</v>
      </c>
      <c r="D8" s="5"/>
    </row>
    <row r="9" customFormat="false" ht="21.75" hidden="false" customHeight="true" outlineLevel="0" collapsed="false">
      <c r="B9" s="4" t="s">
        <v>9</v>
      </c>
      <c r="C9" s="5" t="s">
        <v>10</v>
      </c>
      <c r="D9" s="5"/>
    </row>
    <row r="10" customFormat="false" ht="21.75" hidden="false" customHeight="true" outlineLevel="0" collapsed="false">
      <c r="B10" s="4"/>
      <c r="C10" s="5"/>
      <c r="D10" s="5"/>
    </row>
    <row r="11" customFormat="false" ht="21.75" hidden="false" customHeight="true" outlineLevel="0" collapsed="false">
      <c r="B11" s="3" t="s">
        <v>11</v>
      </c>
      <c r="C11" s="3"/>
      <c r="D11" s="3"/>
    </row>
    <row r="12" customFormat="false" ht="21.75" hidden="false" customHeight="true" outlineLevel="0" collapsed="false">
      <c r="B12" s="4" t="s">
        <v>12</v>
      </c>
      <c r="C12" s="5" t="s">
        <v>13</v>
      </c>
      <c r="D12" s="5"/>
    </row>
    <row r="13" customFormat="false" ht="21.75" hidden="false" customHeight="true" outlineLevel="0" collapsed="false">
      <c r="B13" s="4" t="s">
        <v>14</v>
      </c>
      <c r="C13" s="5" t="s">
        <v>15</v>
      </c>
      <c r="D13" s="5"/>
    </row>
    <row r="14" customFormat="false" ht="21.75" hidden="false" customHeight="true" outlineLevel="0" collapsed="false">
      <c r="B14" s="4" t="s">
        <v>16</v>
      </c>
      <c r="C14" s="5" t="s">
        <v>17</v>
      </c>
      <c r="D14" s="5"/>
    </row>
    <row r="15" customFormat="false" ht="21.75" hidden="false" customHeight="true" outlineLevel="0" collapsed="false">
      <c r="B15" s="4" t="s">
        <v>18</v>
      </c>
      <c r="C15" s="5" t="s">
        <v>19</v>
      </c>
      <c r="D15" s="5"/>
    </row>
    <row r="16" customFormat="false" ht="21.75" hidden="false" customHeight="true" outlineLevel="0" collapsed="false">
      <c r="B16" s="4" t="s">
        <v>20</v>
      </c>
      <c r="C16" s="5" t="s">
        <v>21</v>
      </c>
      <c r="D16" s="5"/>
    </row>
    <row r="17" customFormat="false" ht="21.75" hidden="false" customHeight="true" outlineLevel="0" collapsed="false">
      <c r="B17" s="4"/>
      <c r="C17" s="5"/>
      <c r="D17" s="5"/>
    </row>
    <row r="18" customFormat="false" ht="21.75" hidden="false" customHeight="true" outlineLevel="0" collapsed="false">
      <c r="B18" s="3" t="s">
        <v>22</v>
      </c>
      <c r="C18" s="3"/>
      <c r="D18" s="3"/>
    </row>
    <row r="19" customFormat="false" ht="21.75" hidden="false" customHeight="true" outlineLevel="0" collapsed="false">
      <c r="B19" s="4" t="s">
        <v>23</v>
      </c>
      <c r="C19" s="5" t="s">
        <v>24</v>
      </c>
      <c r="D19" s="5"/>
    </row>
    <row r="20" customFormat="false" ht="21.75" hidden="false" customHeight="true" outlineLevel="0" collapsed="false">
      <c r="B20" s="4" t="s">
        <v>25</v>
      </c>
      <c r="C20" s="5" t="s">
        <v>26</v>
      </c>
      <c r="D20" s="5"/>
    </row>
    <row r="21" customFormat="false" ht="21.75" hidden="false" customHeight="true" outlineLevel="0" collapsed="false">
      <c r="B21" s="4" t="s">
        <v>27</v>
      </c>
      <c r="C21" s="5" t="s">
        <v>28</v>
      </c>
      <c r="D21" s="5"/>
    </row>
    <row r="22" customFormat="false" ht="21.75" hidden="false" customHeight="true" outlineLevel="0" collapsed="false">
      <c r="B22" s="4" t="s">
        <v>29</v>
      </c>
      <c r="C22" s="5" t="s">
        <v>30</v>
      </c>
      <c r="D22" s="5"/>
    </row>
    <row r="23" customFormat="false" ht="21.75" hidden="false" customHeight="true" outlineLevel="0" collapsed="false">
      <c r="B23" s="4" t="s">
        <v>31</v>
      </c>
      <c r="C23" s="5" t="s">
        <v>32</v>
      </c>
      <c r="D23" s="5"/>
    </row>
    <row r="24" customFormat="false" ht="21.75" hidden="false" customHeight="true" outlineLevel="0" collapsed="false">
      <c r="B24" s="4" t="s">
        <v>33</v>
      </c>
      <c r="C24" s="5" t="s">
        <v>34</v>
      </c>
      <c r="D24" s="5"/>
    </row>
    <row r="25" customFormat="false" ht="21.75" hidden="false" customHeight="true" outlineLevel="0" collapsed="false">
      <c r="B25" s="4" t="s">
        <v>35</v>
      </c>
      <c r="C25" s="5" t="s">
        <v>36</v>
      </c>
      <c r="D25" s="5"/>
    </row>
    <row r="26" customFormat="false" ht="21.75" hidden="false" customHeight="true" outlineLevel="0" collapsed="false">
      <c r="B26" s="4" t="s">
        <v>37</v>
      </c>
      <c r="C26" s="5" t="s">
        <v>38</v>
      </c>
      <c r="D26" s="5"/>
    </row>
    <row r="27" customFormat="false" ht="21.75" hidden="false" customHeight="true" outlineLevel="0" collapsed="false">
      <c r="B27" s="4"/>
      <c r="C27" s="5"/>
      <c r="D27" s="5"/>
    </row>
    <row r="28" customFormat="false" ht="21.75" hidden="false" customHeight="true" outlineLevel="0" collapsed="false">
      <c r="B28" s="3" t="s">
        <v>39</v>
      </c>
      <c r="C28" s="3"/>
      <c r="D28" s="3"/>
    </row>
    <row r="29" customFormat="false" ht="21.75" hidden="false" customHeight="true" outlineLevel="0" collapsed="false">
      <c r="B29" s="4" t="s">
        <v>40</v>
      </c>
      <c r="C29" s="5" t="s">
        <v>41</v>
      </c>
      <c r="D29" s="5"/>
    </row>
    <row r="30" customFormat="false" ht="21.75" hidden="false" customHeight="true" outlineLevel="0" collapsed="false">
      <c r="B30" s="4" t="s">
        <v>42</v>
      </c>
      <c r="C30" s="5" t="s">
        <v>41</v>
      </c>
      <c r="D30" s="5"/>
    </row>
    <row r="31" customFormat="false" ht="21.75" hidden="false" customHeight="true" outlineLevel="0" collapsed="false">
      <c r="B31" s="4" t="s">
        <v>43</v>
      </c>
      <c r="C31" s="5" t="s">
        <v>44</v>
      </c>
      <c r="D31" s="5"/>
    </row>
    <row r="32" customFormat="false" ht="21.75" hidden="false" customHeight="true" outlineLevel="0" collapsed="false">
      <c r="B32" s="4" t="s">
        <v>45</v>
      </c>
      <c r="C32" s="5" t="s">
        <v>46</v>
      </c>
      <c r="D32" s="5"/>
    </row>
    <row r="33" customFormat="false" ht="21.75" hidden="false" customHeight="true" outlineLevel="0" collapsed="false">
      <c r="B33" s="4" t="s">
        <v>47</v>
      </c>
      <c r="C33" s="5" t="s">
        <v>48</v>
      </c>
      <c r="D33" s="5"/>
    </row>
    <row r="34" customFormat="false" ht="21.75" hidden="false" customHeight="true" outlineLevel="0" collapsed="false">
      <c r="B34" s="4"/>
      <c r="C34" s="5"/>
      <c r="D34" s="5"/>
    </row>
    <row r="35" customFormat="false" ht="21.75" hidden="false" customHeight="true" outlineLevel="0" collapsed="false">
      <c r="B35" s="3" t="s">
        <v>49</v>
      </c>
      <c r="C35" s="3"/>
      <c r="D35" s="3"/>
    </row>
    <row r="36" customFormat="false" ht="21.75" hidden="false" customHeight="true" outlineLevel="0" collapsed="false">
      <c r="B36" s="4" t="s">
        <v>50</v>
      </c>
      <c r="C36" s="5" t="s">
        <v>51</v>
      </c>
      <c r="D36" s="5"/>
    </row>
    <row r="37" customFormat="false" ht="21.75" hidden="false" customHeight="true" outlineLevel="0" collapsed="false">
      <c r="B37" s="4" t="s">
        <v>52</v>
      </c>
      <c r="C37" s="5" t="s">
        <v>53</v>
      </c>
      <c r="D37" s="5"/>
    </row>
    <row r="38" customFormat="false" ht="21.75" hidden="false" customHeight="true" outlineLevel="0" collapsed="false">
      <c r="B38" s="4" t="s">
        <v>54</v>
      </c>
      <c r="C38" s="5" t="s">
        <v>55</v>
      </c>
      <c r="D38" s="5"/>
    </row>
    <row r="39" customFormat="false" ht="21.75" hidden="false" customHeight="true" outlineLevel="0" collapsed="false">
      <c r="B39" s="4" t="s">
        <v>56</v>
      </c>
      <c r="C39" s="5" t="s">
        <v>57</v>
      </c>
      <c r="D39" s="5"/>
    </row>
    <row r="40" customFormat="false" ht="21.75" hidden="false" customHeight="true" outlineLevel="0" collapsed="false">
      <c r="B40" s="4"/>
      <c r="C40" s="5"/>
      <c r="D40" s="5"/>
    </row>
    <row r="41" customFormat="false" ht="21.75" hidden="false" customHeight="true" outlineLevel="0" collapsed="false">
      <c r="B41" s="3" t="s">
        <v>58</v>
      </c>
      <c r="C41" s="3"/>
      <c r="D41" s="3"/>
    </row>
    <row r="42" customFormat="false" ht="21.75" hidden="false" customHeight="true" outlineLevel="0" collapsed="false">
      <c r="B42" s="4" t="s">
        <v>59</v>
      </c>
      <c r="C42" s="5" t="s">
        <v>60</v>
      </c>
      <c r="D42" s="5"/>
    </row>
    <row r="43" customFormat="false" ht="21.75" hidden="false" customHeight="true" outlineLevel="0" collapsed="false">
      <c r="B43" s="4" t="s">
        <v>61</v>
      </c>
      <c r="C43" s="5" t="s">
        <v>62</v>
      </c>
      <c r="D43" s="5"/>
    </row>
    <row r="44" customFormat="false" ht="21.75" hidden="false" customHeight="true" outlineLevel="0" collapsed="false">
      <c r="B44" s="4" t="s">
        <v>63</v>
      </c>
      <c r="C44" s="5" t="s">
        <v>64</v>
      </c>
      <c r="D44" s="5"/>
    </row>
    <row r="45" customFormat="false" ht="21.75" hidden="false" customHeight="true" outlineLevel="0" collapsed="false">
      <c r="B45" s="4"/>
      <c r="C45" s="5"/>
      <c r="D45" s="5"/>
    </row>
    <row r="46" customFormat="false" ht="21.75" hidden="false" customHeight="true" outlineLevel="0" collapsed="false">
      <c r="B46" s="3" t="s">
        <v>65</v>
      </c>
      <c r="C46" s="3"/>
      <c r="D46" s="3"/>
    </row>
    <row r="47" customFormat="false" ht="21.75" hidden="false" customHeight="true" outlineLevel="0" collapsed="false">
      <c r="B47" s="4" t="s">
        <v>66</v>
      </c>
      <c r="C47" s="5" t="s">
        <v>67</v>
      </c>
      <c r="D47" s="5"/>
    </row>
  </sheetData>
  <mergeCells count="45">
    <mergeCell ref="B2:D2"/>
    <mergeCell ref="B3:D3"/>
    <mergeCell ref="B5:D5"/>
    <mergeCell ref="C6:D6"/>
    <mergeCell ref="C7:D7"/>
    <mergeCell ref="C8:D8"/>
    <mergeCell ref="C9:D9"/>
    <mergeCell ref="C10:D10"/>
    <mergeCell ref="B11:D11"/>
    <mergeCell ref="C12:D12"/>
    <mergeCell ref="C13:D13"/>
    <mergeCell ref="C14:D14"/>
    <mergeCell ref="C15:D15"/>
    <mergeCell ref="C16:D16"/>
    <mergeCell ref="C17:D17"/>
    <mergeCell ref="B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B28:D28"/>
    <mergeCell ref="C29:D29"/>
    <mergeCell ref="C30:D30"/>
    <mergeCell ref="C31:D31"/>
    <mergeCell ref="C32:D32"/>
    <mergeCell ref="C33:D33"/>
    <mergeCell ref="C34:D34"/>
    <mergeCell ref="B35:D35"/>
    <mergeCell ref="C36:D36"/>
    <mergeCell ref="C37:D37"/>
    <mergeCell ref="C38:D38"/>
    <mergeCell ref="C39:D39"/>
    <mergeCell ref="C40:D40"/>
    <mergeCell ref="B41:D41"/>
    <mergeCell ref="C42:D42"/>
    <mergeCell ref="C43:D43"/>
    <mergeCell ref="C44:D44"/>
    <mergeCell ref="C45:D45"/>
    <mergeCell ref="B46:D46"/>
    <mergeCell ref="C47:D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50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30"/>
    <col collapsed="false" customWidth="true" hidden="false" outlineLevel="0" max="9" min="9" style="0" width="50"/>
  </cols>
  <sheetData>
    <row r="1" customFormat="false" ht="19.7" hidden="false" customHeight="false" outlineLevel="0" collapsed="false">
      <c r="A1" s="1" t="s">
        <v>68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6" t="s">
        <v>69</v>
      </c>
      <c r="B3" s="6" t="s">
        <v>70</v>
      </c>
      <c r="C3" s="6" t="s">
        <v>71</v>
      </c>
      <c r="D3" s="6" t="s">
        <v>72</v>
      </c>
      <c r="E3" s="6" t="s">
        <v>73</v>
      </c>
      <c r="F3" s="6" t="s">
        <v>74</v>
      </c>
      <c r="G3" s="6" t="s">
        <v>75</v>
      </c>
      <c r="H3" s="6" t="s">
        <v>76</v>
      </c>
      <c r="I3" s="6" t="s">
        <v>77</v>
      </c>
    </row>
    <row r="4" customFormat="false" ht="75" hidden="false" customHeight="true" outlineLevel="0" collapsed="false">
      <c r="A4" s="7" t="n">
        <v>1</v>
      </c>
      <c r="B4" s="8" t="s">
        <v>78</v>
      </c>
      <c r="C4" s="9" t="s">
        <v>79</v>
      </c>
      <c r="D4" s="10" t="s">
        <v>80</v>
      </c>
      <c r="E4" s="7" t="s">
        <v>81</v>
      </c>
      <c r="F4" s="11" t="n">
        <v>18</v>
      </c>
      <c r="G4" s="12" t="s">
        <v>82</v>
      </c>
      <c r="H4" s="9" t="s">
        <v>83</v>
      </c>
      <c r="I4" s="9" t="s">
        <v>84</v>
      </c>
    </row>
    <row r="5" customFormat="false" ht="75" hidden="false" customHeight="true" outlineLevel="0" collapsed="false">
      <c r="A5" s="7" t="n">
        <v>2</v>
      </c>
      <c r="B5" s="8" t="s">
        <v>85</v>
      </c>
      <c r="C5" s="9" t="s">
        <v>86</v>
      </c>
      <c r="D5" s="10" t="s">
        <v>80</v>
      </c>
      <c r="E5" s="7" t="s">
        <v>81</v>
      </c>
      <c r="F5" s="11" t="n">
        <v>14</v>
      </c>
      <c r="G5" s="12" t="s">
        <v>82</v>
      </c>
      <c r="H5" s="9" t="s">
        <v>87</v>
      </c>
      <c r="I5" s="9" t="s">
        <v>88</v>
      </c>
    </row>
    <row r="6" customFormat="false" ht="75" hidden="false" customHeight="true" outlineLevel="0" collapsed="false">
      <c r="A6" s="7" t="n">
        <v>3</v>
      </c>
      <c r="B6" s="8" t="s">
        <v>89</v>
      </c>
      <c r="C6" s="9" t="s">
        <v>90</v>
      </c>
      <c r="D6" s="10" t="s">
        <v>80</v>
      </c>
      <c r="E6" s="7" t="s">
        <v>81</v>
      </c>
      <c r="F6" s="11" t="n">
        <v>20</v>
      </c>
      <c r="G6" s="12" t="s">
        <v>82</v>
      </c>
      <c r="H6" s="9" t="s">
        <v>87</v>
      </c>
      <c r="I6" s="9" t="s">
        <v>83</v>
      </c>
    </row>
    <row r="7" customFormat="false" ht="75" hidden="false" customHeight="true" outlineLevel="0" collapsed="false">
      <c r="A7" s="7" t="n">
        <v>4</v>
      </c>
      <c r="B7" s="8" t="s">
        <v>91</v>
      </c>
      <c r="C7" s="9" t="s">
        <v>92</v>
      </c>
      <c r="D7" s="13" t="s">
        <v>93</v>
      </c>
      <c r="E7" s="7" t="s">
        <v>94</v>
      </c>
      <c r="F7" s="11" t="n">
        <v>8</v>
      </c>
      <c r="G7" s="14" t="s">
        <v>95</v>
      </c>
      <c r="H7" s="9" t="s">
        <v>96</v>
      </c>
      <c r="I7" s="9" t="s">
        <v>97</v>
      </c>
    </row>
    <row r="8" customFormat="false" ht="75" hidden="false" customHeight="true" outlineLevel="0" collapsed="false">
      <c r="A8" s="7" t="n">
        <v>5</v>
      </c>
      <c r="B8" s="8" t="s">
        <v>98</v>
      </c>
      <c r="C8" s="9" t="s">
        <v>99</v>
      </c>
      <c r="D8" s="10" t="s">
        <v>80</v>
      </c>
      <c r="E8" s="7" t="s">
        <v>100</v>
      </c>
      <c r="F8" s="11" t="n">
        <v>35</v>
      </c>
      <c r="G8" s="12" t="s">
        <v>82</v>
      </c>
      <c r="H8" s="9" t="s">
        <v>101</v>
      </c>
      <c r="I8" s="9" t="s">
        <v>102</v>
      </c>
    </row>
    <row r="9" customFormat="false" ht="75" hidden="false" customHeight="true" outlineLevel="0" collapsed="false">
      <c r="A9" s="7" t="n">
        <v>6</v>
      </c>
      <c r="B9" s="8" t="s">
        <v>103</v>
      </c>
      <c r="C9" s="9" t="s">
        <v>104</v>
      </c>
      <c r="D9" s="10" t="s">
        <v>80</v>
      </c>
      <c r="E9" s="7" t="s">
        <v>100</v>
      </c>
      <c r="F9" s="11" t="n">
        <v>22</v>
      </c>
      <c r="G9" s="12" t="s">
        <v>82</v>
      </c>
      <c r="H9" s="9" t="s">
        <v>105</v>
      </c>
      <c r="I9" s="9" t="s">
        <v>106</v>
      </c>
    </row>
    <row r="10" customFormat="false" ht="75" hidden="false" customHeight="true" outlineLevel="0" collapsed="false">
      <c r="A10" s="7" t="n">
        <v>7</v>
      </c>
      <c r="B10" s="8" t="s">
        <v>107</v>
      </c>
      <c r="C10" s="9" t="s">
        <v>108</v>
      </c>
      <c r="D10" s="10" t="s">
        <v>80</v>
      </c>
      <c r="E10" s="7" t="s">
        <v>100</v>
      </c>
      <c r="F10" s="11" t="n">
        <v>28</v>
      </c>
      <c r="G10" s="12" t="s">
        <v>82</v>
      </c>
      <c r="H10" s="9" t="s">
        <v>109</v>
      </c>
      <c r="I10" s="9" t="s">
        <v>110</v>
      </c>
    </row>
    <row r="11" customFormat="false" ht="75" hidden="false" customHeight="true" outlineLevel="0" collapsed="false">
      <c r="A11" s="7" t="n">
        <v>8</v>
      </c>
      <c r="B11" s="8" t="s">
        <v>111</v>
      </c>
      <c r="C11" s="9" t="s">
        <v>112</v>
      </c>
      <c r="D11" s="10" t="s">
        <v>80</v>
      </c>
      <c r="E11" s="7" t="s">
        <v>81</v>
      </c>
      <c r="F11" s="11" t="n">
        <v>16</v>
      </c>
      <c r="G11" s="12" t="s">
        <v>82</v>
      </c>
      <c r="H11" s="9" t="s">
        <v>113</v>
      </c>
      <c r="I11" s="9" t="s">
        <v>114</v>
      </c>
    </row>
    <row r="12" customFormat="false" ht="75" hidden="false" customHeight="true" outlineLevel="0" collapsed="false">
      <c r="A12" s="7" t="n">
        <v>9</v>
      </c>
      <c r="B12" s="8" t="s">
        <v>115</v>
      </c>
      <c r="C12" s="9" t="s">
        <v>116</v>
      </c>
      <c r="D12" s="10" t="s">
        <v>80</v>
      </c>
      <c r="E12" s="7" t="s">
        <v>100</v>
      </c>
      <c r="F12" s="11" t="n">
        <v>30</v>
      </c>
      <c r="G12" s="12" t="s">
        <v>82</v>
      </c>
      <c r="H12" s="9" t="s">
        <v>87</v>
      </c>
      <c r="I12" s="9" t="s">
        <v>117</v>
      </c>
    </row>
    <row r="13" customFormat="false" ht="75" hidden="false" customHeight="true" outlineLevel="0" collapsed="false">
      <c r="A13" s="7" t="n">
        <v>10</v>
      </c>
      <c r="B13" s="8" t="s">
        <v>118</v>
      </c>
      <c r="C13" s="9" t="s">
        <v>119</v>
      </c>
      <c r="D13" s="10" t="s">
        <v>80</v>
      </c>
      <c r="E13" s="7" t="s">
        <v>120</v>
      </c>
      <c r="F13" s="11" t="n">
        <v>55</v>
      </c>
      <c r="G13" s="14" t="s">
        <v>95</v>
      </c>
      <c r="H13" s="9" t="s">
        <v>121</v>
      </c>
      <c r="I13" s="9" t="s">
        <v>122</v>
      </c>
    </row>
    <row r="14" customFormat="false" ht="75" hidden="false" customHeight="true" outlineLevel="0" collapsed="false">
      <c r="A14" s="7" t="n">
        <v>11</v>
      </c>
      <c r="B14" s="8" t="s">
        <v>123</v>
      </c>
      <c r="C14" s="9" t="s">
        <v>124</v>
      </c>
      <c r="D14" s="10" t="s">
        <v>80</v>
      </c>
      <c r="E14" s="7" t="s">
        <v>81</v>
      </c>
      <c r="F14" s="11" t="n">
        <v>20</v>
      </c>
      <c r="G14" s="14" t="s">
        <v>95</v>
      </c>
      <c r="H14" s="9" t="s">
        <v>125</v>
      </c>
      <c r="I14" s="9" t="s">
        <v>126</v>
      </c>
    </row>
    <row r="15" customFormat="false" ht="75" hidden="false" customHeight="true" outlineLevel="0" collapsed="false">
      <c r="A15" s="7" t="n">
        <v>12</v>
      </c>
      <c r="B15" s="8" t="s">
        <v>127</v>
      </c>
      <c r="C15" s="9" t="s">
        <v>128</v>
      </c>
      <c r="D15" s="10" t="s">
        <v>80</v>
      </c>
      <c r="E15" s="7" t="s">
        <v>81</v>
      </c>
      <c r="F15" s="11" t="n">
        <v>14</v>
      </c>
      <c r="G15" s="12" t="s">
        <v>82</v>
      </c>
      <c r="H15" s="9" t="s">
        <v>129</v>
      </c>
      <c r="I15" s="9" t="s">
        <v>130</v>
      </c>
    </row>
    <row r="16" customFormat="false" ht="75" hidden="false" customHeight="true" outlineLevel="0" collapsed="false">
      <c r="A16" s="7" t="n">
        <v>13</v>
      </c>
      <c r="B16" s="8" t="s">
        <v>131</v>
      </c>
      <c r="C16" s="9" t="s">
        <v>132</v>
      </c>
      <c r="D16" s="13" t="s">
        <v>93</v>
      </c>
      <c r="E16" s="7" t="s">
        <v>81</v>
      </c>
      <c r="F16" s="11" t="n">
        <v>16</v>
      </c>
      <c r="G16" s="14" t="s">
        <v>95</v>
      </c>
      <c r="H16" s="9" t="s">
        <v>133</v>
      </c>
      <c r="I16" s="9" t="s">
        <v>134</v>
      </c>
    </row>
    <row r="17" customFormat="false" ht="75" hidden="false" customHeight="true" outlineLevel="0" collapsed="false">
      <c r="A17" s="7" t="n">
        <v>14</v>
      </c>
      <c r="B17" s="8" t="s">
        <v>135</v>
      </c>
      <c r="C17" s="9" t="s">
        <v>136</v>
      </c>
      <c r="D17" s="10" t="s">
        <v>137</v>
      </c>
      <c r="E17" s="7" t="s">
        <v>81</v>
      </c>
      <c r="F17" s="11" t="n">
        <v>22</v>
      </c>
      <c r="G17" s="15" t="s">
        <v>138</v>
      </c>
      <c r="H17" s="9" t="s">
        <v>87</v>
      </c>
      <c r="I17" s="9" t="s">
        <v>139</v>
      </c>
    </row>
    <row r="18" customFormat="false" ht="75" hidden="false" customHeight="true" outlineLevel="0" collapsed="false">
      <c r="A18" s="7" t="n">
        <v>15</v>
      </c>
      <c r="B18" s="8" t="s">
        <v>140</v>
      </c>
      <c r="C18" s="9" t="s">
        <v>141</v>
      </c>
      <c r="D18" s="10" t="s">
        <v>137</v>
      </c>
      <c r="E18" s="7" t="s">
        <v>81</v>
      </c>
      <c r="F18" s="11" t="n">
        <v>22</v>
      </c>
      <c r="G18" s="15" t="s">
        <v>138</v>
      </c>
      <c r="H18" s="9" t="s">
        <v>142</v>
      </c>
      <c r="I18" s="9" t="s">
        <v>143</v>
      </c>
    </row>
    <row r="19" customFormat="false" ht="75" hidden="false" customHeight="true" outlineLevel="0" collapsed="false">
      <c r="A19" s="7" t="n">
        <v>16</v>
      </c>
      <c r="B19" s="8" t="s">
        <v>144</v>
      </c>
      <c r="C19" s="9" t="s">
        <v>145</v>
      </c>
      <c r="D19" s="10" t="s">
        <v>80</v>
      </c>
      <c r="E19" s="7" t="s">
        <v>100</v>
      </c>
      <c r="F19" s="11" t="n">
        <v>25</v>
      </c>
      <c r="G19" s="12" t="s">
        <v>82</v>
      </c>
      <c r="H19" s="9" t="s">
        <v>146</v>
      </c>
      <c r="I19" s="9" t="s">
        <v>147</v>
      </c>
    </row>
    <row r="21" customFormat="false" ht="15" hidden="false" customHeight="false" outlineLevel="0" collapsed="false">
      <c r="B21" s="4" t="s">
        <v>148</v>
      </c>
      <c r="F21" s="16" t="n">
        <f aca="false">SUMPRODUCT((G4:G19="1A")*F4:F19)+ROUND(SUMPRODUCT(((G4:G19="1A (basic), 1B (full)"))*F4:F19)*0.4,0)</f>
        <v>240</v>
      </c>
    </row>
    <row r="22" customFormat="false" ht="15" hidden="false" customHeight="false" outlineLevel="0" collapsed="false">
      <c r="B22" s="4" t="s">
        <v>149</v>
      </c>
      <c r="F22" s="16" t="n">
        <f aca="false">SUMPRODUCT((G4:G19="1B")*F4:F19)+ROUND(SUMPRODUCT(((G4:G19="1A (basic), 1B (full)"))*F4:F19)*0.6,0)</f>
        <v>125</v>
      </c>
    </row>
    <row r="23" customFormat="false" ht="15" hidden="false" customHeight="false" outlineLevel="0" collapsed="false">
      <c r="B23" s="4" t="s">
        <v>150</v>
      </c>
      <c r="F23" s="17" t="n">
        <f aca="false">SUM(F4:F19)</f>
        <v>365</v>
      </c>
    </row>
    <row r="25" customFormat="false" ht="15" hidden="false" customHeight="false" outlineLevel="0" collapsed="false">
      <c r="B25" s="18" t="s">
        <v>151</v>
      </c>
    </row>
    <row r="26" customFormat="false" ht="15" hidden="false" customHeight="false" outlineLevel="0" collapsed="false">
      <c r="B26" s="4" t="s">
        <v>72</v>
      </c>
      <c r="C26" s="19" t="s">
        <v>152</v>
      </c>
      <c r="D26" s="20" t="s">
        <v>153</v>
      </c>
      <c r="E26" s="21" t="s">
        <v>154</v>
      </c>
    </row>
    <row r="27" customFormat="false" ht="15" hidden="false" customHeight="false" outlineLevel="0" collapsed="false">
      <c r="B27" s="4" t="s">
        <v>75</v>
      </c>
      <c r="C27" s="22" t="s">
        <v>82</v>
      </c>
      <c r="D27" s="23" t="s">
        <v>95</v>
      </c>
      <c r="E27" s="24" t="s">
        <v>155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35"/>
    <col collapsed="false" customWidth="true" hidden="false" outlineLevel="0" max="5" min="5" style="0" width="50"/>
    <col collapsed="false" customWidth="true" hidden="false" outlineLevel="0" max="7" min="6" style="0" width="12"/>
    <col collapsed="false" customWidth="true" hidden="false" outlineLevel="0" max="8" min="8" style="0" width="25"/>
  </cols>
  <sheetData>
    <row r="1" customFormat="false" ht="19.7" hidden="false" customHeight="false" outlineLevel="0" collapsed="false">
      <c r="A1" s="1" t="s">
        <v>156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6" t="s">
        <v>157</v>
      </c>
      <c r="B3" s="6" t="s">
        <v>75</v>
      </c>
      <c r="C3" s="6" t="s">
        <v>158</v>
      </c>
      <c r="D3" s="6" t="s">
        <v>159</v>
      </c>
      <c r="E3" s="6" t="s">
        <v>160</v>
      </c>
      <c r="F3" s="6" t="s">
        <v>161</v>
      </c>
      <c r="G3" s="6" t="s">
        <v>162</v>
      </c>
      <c r="H3" s="6" t="s">
        <v>163</v>
      </c>
    </row>
    <row r="4" customFormat="false" ht="144.75" hidden="false" customHeight="true" outlineLevel="0" collapsed="false">
      <c r="A4" s="25" t="s">
        <v>164</v>
      </c>
      <c r="B4" s="26" t="s">
        <v>165</v>
      </c>
      <c r="C4" s="27" t="s">
        <v>166</v>
      </c>
      <c r="D4" s="9" t="s">
        <v>167</v>
      </c>
      <c r="E4" s="9" t="s">
        <v>168</v>
      </c>
      <c r="F4" s="7" t="n">
        <v>0</v>
      </c>
      <c r="G4" s="11" t="n">
        <v>12</v>
      </c>
      <c r="H4" s="9" t="s">
        <v>169</v>
      </c>
    </row>
    <row r="5" customFormat="false" ht="144.75" hidden="false" customHeight="true" outlineLevel="0" collapsed="false">
      <c r="A5" s="25" t="s">
        <v>170</v>
      </c>
      <c r="B5" s="12" t="s">
        <v>82</v>
      </c>
      <c r="C5" s="27" t="s">
        <v>171</v>
      </c>
      <c r="D5" s="9" t="s">
        <v>172</v>
      </c>
      <c r="E5" s="9" t="s">
        <v>173</v>
      </c>
      <c r="F5" s="7" t="n">
        <v>21</v>
      </c>
      <c r="G5" s="11" t="n">
        <v>18</v>
      </c>
      <c r="H5" s="9" t="s">
        <v>87</v>
      </c>
    </row>
    <row r="6" customFormat="false" ht="144.75" hidden="false" customHeight="true" outlineLevel="0" collapsed="false">
      <c r="A6" s="25" t="s">
        <v>174</v>
      </c>
      <c r="B6" s="12" t="s">
        <v>82</v>
      </c>
      <c r="C6" s="27" t="s">
        <v>175</v>
      </c>
      <c r="D6" s="9" t="s">
        <v>176</v>
      </c>
      <c r="E6" s="9" t="s">
        <v>177</v>
      </c>
      <c r="F6" s="7" t="n">
        <v>20</v>
      </c>
      <c r="G6" s="11" t="n">
        <v>18</v>
      </c>
      <c r="H6" s="9" t="s">
        <v>178</v>
      </c>
    </row>
    <row r="7" customFormat="false" ht="144.75" hidden="false" customHeight="true" outlineLevel="0" collapsed="false">
      <c r="A7" s="25" t="s">
        <v>179</v>
      </c>
      <c r="B7" s="12" t="s">
        <v>82</v>
      </c>
      <c r="C7" s="27" t="s">
        <v>180</v>
      </c>
      <c r="D7" s="9" t="s">
        <v>181</v>
      </c>
      <c r="E7" s="9" t="s">
        <v>182</v>
      </c>
      <c r="F7" s="7" t="n">
        <v>21</v>
      </c>
      <c r="G7" s="11" t="n">
        <v>20</v>
      </c>
      <c r="H7" s="9" t="s">
        <v>183</v>
      </c>
    </row>
    <row r="8" customFormat="false" ht="144.75" hidden="false" customHeight="true" outlineLevel="0" collapsed="false">
      <c r="A8" s="25" t="s">
        <v>184</v>
      </c>
      <c r="B8" s="12" t="s">
        <v>82</v>
      </c>
      <c r="C8" s="27" t="s">
        <v>185</v>
      </c>
      <c r="D8" s="9" t="s">
        <v>186</v>
      </c>
      <c r="E8" s="9" t="s">
        <v>187</v>
      </c>
      <c r="F8" s="7" t="n">
        <v>21</v>
      </c>
      <c r="G8" s="11" t="n">
        <v>22</v>
      </c>
      <c r="H8" s="9" t="s">
        <v>188</v>
      </c>
    </row>
    <row r="9" customFormat="false" ht="144.75" hidden="false" customHeight="true" outlineLevel="0" collapsed="false">
      <c r="A9" s="25" t="s">
        <v>189</v>
      </c>
      <c r="B9" s="12" t="s">
        <v>82</v>
      </c>
      <c r="C9" s="27" t="s">
        <v>107</v>
      </c>
      <c r="D9" s="9" t="s">
        <v>190</v>
      </c>
      <c r="E9" s="9" t="s">
        <v>191</v>
      </c>
      <c r="F9" s="7" t="n">
        <v>20</v>
      </c>
      <c r="G9" s="11" t="n">
        <v>22</v>
      </c>
      <c r="H9" s="9" t="s">
        <v>192</v>
      </c>
    </row>
    <row r="10" customFormat="false" ht="144.75" hidden="false" customHeight="true" outlineLevel="0" collapsed="false">
      <c r="A10" s="25" t="s">
        <v>193</v>
      </c>
      <c r="B10" s="12" t="s">
        <v>82</v>
      </c>
      <c r="C10" s="27" t="s">
        <v>194</v>
      </c>
      <c r="D10" s="9" t="s">
        <v>195</v>
      </c>
      <c r="E10" s="9" t="s">
        <v>196</v>
      </c>
      <c r="F10" s="7" t="n">
        <v>26</v>
      </c>
      <c r="G10" s="11" t="n">
        <v>26</v>
      </c>
      <c r="H10" s="9" t="s">
        <v>197</v>
      </c>
    </row>
    <row r="11" customFormat="false" ht="144.75" hidden="false" customHeight="true" outlineLevel="0" collapsed="false">
      <c r="A11" s="25" t="s">
        <v>198</v>
      </c>
      <c r="B11" s="12" t="s">
        <v>82</v>
      </c>
      <c r="C11" s="27" t="s">
        <v>199</v>
      </c>
      <c r="D11" s="9" t="s">
        <v>200</v>
      </c>
      <c r="E11" s="9" t="s">
        <v>201</v>
      </c>
      <c r="F11" s="7" t="n">
        <v>16</v>
      </c>
      <c r="G11" s="11" t="n">
        <v>16</v>
      </c>
      <c r="H11" s="9" t="s">
        <v>202</v>
      </c>
    </row>
    <row r="12" customFormat="false" ht="144.75" hidden="false" customHeight="true" outlineLevel="0" collapsed="false">
      <c r="A12" s="25" t="s">
        <v>203</v>
      </c>
      <c r="B12" s="12" t="s">
        <v>82</v>
      </c>
      <c r="C12" s="27" t="s">
        <v>204</v>
      </c>
      <c r="D12" s="9" t="s">
        <v>205</v>
      </c>
      <c r="E12" s="9" t="s">
        <v>206</v>
      </c>
      <c r="F12" s="7" t="n">
        <v>16</v>
      </c>
      <c r="G12" s="11" t="n">
        <v>18</v>
      </c>
      <c r="H12" s="9" t="s">
        <v>207</v>
      </c>
    </row>
    <row r="13" customFormat="false" ht="144.75" hidden="false" customHeight="true" outlineLevel="0" collapsed="false">
      <c r="A13" s="25" t="s">
        <v>208</v>
      </c>
      <c r="B13" s="12" t="s">
        <v>82</v>
      </c>
      <c r="C13" s="27" t="s">
        <v>209</v>
      </c>
      <c r="D13" s="9" t="s">
        <v>210</v>
      </c>
      <c r="E13" s="9" t="s">
        <v>211</v>
      </c>
      <c r="F13" s="7" t="n">
        <v>22</v>
      </c>
      <c r="G13" s="11" t="n">
        <v>22</v>
      </c>
      <c r="H13" s="9" t="s">
        <v>212</v>
      </c>
    </row>
    <row r="14" customFormat="false" ht="144.75" hidden="false" customHeight="true" outlineLevel="0" collapsed="false">
      <c r="A14" s="25" t="s">
        <v>213</v>
      </c>
      <c r="B14" s="12" t="s">
        <v>82</v>
      </c>
      <c r="C14" s="27" t="s">
        <v>214</v>
      </c>
      <c r="D14" s="9" t="s">
        <v>215</v>
      </c>
      <c r="E14" s="9" t="s">
        <v>216</v>
      </c>
      <c r="F14" s="7" t="n">
        <v>16</v>
      </c>
      <c r="G14" s="11" t="n">
        <v>18</v>
      </c>
      <c r="H14" s="9" t="s">
        <v>217</v>
      </c>
    </row>
    <row r="15" customFormat="false" ht="144.75" hidden="false" customHeight="true" outlineLevel="0" collapsed="false">
      <c r="A15" s="25" t="s">
        <v>218</v>
      </c>
      <c r="B15" s="14" t="s">
        <v>95</v>
      </c>
      <c r="C15" s="27" t="s">
        <v>219</v>
      </c>
      <c r="D15" s="9" t="s">
        <v>220</v>
      </c>
      <c r="E15" s="9" t="s">
        <v>221</v>
      </c>
      <c r="F15" s="7" t="n">
        <v>21</v>
      </c>
      <c r="G15" s="11" t="n">
        <v>22</v>
      </c>
      <c r="H15" s="9" t="s">
        <v>222</v>
      </c>
    </row>
    <row r="16" customFormat="false" ht="144.75" hidden="false" customHeight="true" outlineLevel="0" collapsed="false">
      <c r="A16" s="25" t="s">
        <v>223</v>
      </c>
      <c r="B16" s="14" t="s">
        <v>95</v>
      </c>
      <c r="C16" s="27" t="s">
        <v>224</v>
      </c>
      <c r="D16" s="9" t="s">
        <v>225</v>
      </c>
      <c r="E16" s="9" t="s">
        <v>226</v>
      </c>
      <c r="F16" s="7" t="n">
        <v>26</v>
      </c>
      <c r="G16" s="11" t="n">
        <v>28</v>
      </c>
      <c r="H16" s="9" t="s">
        <v>227</v>
      </c>
    </row>
    <row r="17" customFormat="false" ht="144.75" hidden="false" customHeight="true" outlineLevel="0" collapsed="false">
      <c r="A17" s="25" t="s">
        <v>228</v>
      </c>
      <c r="B17" s="14" t="s">
        <v>95</v>
      </c>
      <c r="C17" s="27" t="s">
        <v>229</v>
      </c>
      <c r="D17" s="9" t="s">
        <v>230</v>
      </c>
      <c r="E17" s="9" t="s">
        <v>231</v>
      </c>
      <c r="F17" s="7" t="n">
        <v>26</v>
      </c>
      <c r="G17" s="11" t="n">
        <v>28</v>
      </c>
      <c r="H17" s="9" t="s">
        <v>227</v>
      </c>
    </row>
    <row r="18" customFormat="false" ht="144.75" hidden="false" customHeight="true" outlineLevel="0" collapsed="false">
      <c r="A18" s="25" t="s">
        <v>232</v>
      </c>
      <c r="B18" s="14" t="s">
        <v>95</v>
      </c>
      <c r="C18" s="27" t="s">
        <v>233</v>
      </c>
      <c r="D18" s="9" t="s">
        <v>234</v>
      </c>
      <c r="E18" s="9" t="s">
        <v>235</v>
      </c>
      <c r="F18" s="7" t="n">
        <v>20</v>
      </c>
      <c r="G18" s="11" t="n">
        <v>22</v>
      </c>
      <c r="H18" s="9" t="s">
        <v>236</v>
      </c>
    </row>
    <row r="19" customFormat="false" ht="144.75" hidden="false" customHeight="true" outlineLevel="0" collapsed="false">
      <c r="A19" s="25" t="s">
        <v>237</v>
      </c>
      <c r="B19" s="14" t="s">
        <v>95</v>
      </c>
      <c r="C19" s="27" t="s">
        <v>238</v>
      </c>
      <c r="D19" s="9" t="s">
        <v>239</v>
      </c>
      <c r="E19" s="9" t="s">
        <v>240</v>
      </c>
      <c r="F19" s="7" t="n">
        <v>20</v>
      </c>
      <c r="G19" s="11" t="n">
        <v>22</v>
      </c>
      <c r="H19" s="9" t="s">
        <v>241</v>
      </c>
    </row>
    <row r="20" customFormat="false" ht="144.75" hidden="false" customHeight="true" outlineLevel="0" collapsed="false">
      <c r="A20" s="25" t="s">
        <v>242</v>
      </c>
      <c r="B20" s="14" t="s">
        <v>95</v>
      </c>
      <c r="C20" s="27" t="s">
        <v>243</v>
      </c>
      <c r="D20" s="9" t="s">
        <v>244</v>
      </c>
      <c r="E20" s="9" t="s">
        <v>245</v>
      </c>
      <c r="F20" s="7" t="n">
        <v>22</v>
      </c>
      <c r="G20" s="11" t="n">
        <v>24</v>
      </c>
      <c r="H20" s="9" t="s">
        <v>246</v>
      </c>
    </row>
    <row r="21" customFormat="false" ht="144.75" hidden="false" customHeight="true" outlineLevel="0" collapsed="false">
      <c r="A21" s="25" t="s">
        <v>247</v>
      </c>
      <c r="B21" s="14" t="s">
        <v>95</v>
      </c>
      <c r="C21" s="27" t="s">
        <v>248</v>
      </c>
      <c r="D21" s="9" t="s">
        <v>249</v>
      </c>
      <c r="E21" s="9" t="s">
        <v>250</v>
      </c>
      <c r="F21" s="7" t="n">
        <v>16</v>
      </c>
      <c r="G21" s="11" t="n">
        <v>20</v>
      </c>
      <c r="H21" s="9" t="s">
        <v>251</v>
      </c>
    </row>
    <row r="22" customFormat="false" ht="144.75" hidden="false" customHeight="true" outlineLevel="0" collapsed="false">
      <c r="A22" s="25" t="s">
        <v>252</v>
      </c>
      <c r="B22" s="14" t="s">
        <v>95</v>
      </c>
      <c r="C22" s="27" t="s">
        <v>253</v>
      </c>
      <c r="D22" s="9" t="s">
        <v>254</v>
      </c>
      <c r="E22" s="9" t="s">
        <v>255</v>
      </c>
      <c r="F22" s="7" t="n">
        <v>14</v>
      </c>
      <c r="G22" s="11" t="n">
        <v>18</v>
      </c>
      <c r="H22" s="9" t="s">
        <v>251</v>
      </c>
    </row>
    <row r="24" customFormat="false" ht="15" hidden="false" customHeight="false" outlineLevel="0" collapsed="false">
      <c r="C24" s="4" t="s">
        <v>256</v>
      </c>
      <c r="F24" s="4" t="n">
        <f aca="false">SUMIF(B4:B22,"Setup",F4:F22)+SUMIF(B4:B22,"1A",F4:F22)</f>
        <v>199</v>
      </c>
      <c r="G24" s="4" t="n">
        <f aca="false">SUMIF(B4:B22,"Setup",G4:G22)+SUMIF(B4:B22,"1A",G4:G22)</f>
        <v>212</v>
      </c>
    </row>
    <row r="25" customFormat="false" ht="15" hidden="false" customHeight="false" outlineLevel="0" collapsed="false">
      <c r="C25" s="4" t="s">
        <v>257</v>
      </c>
      <c r="F25" s="4" t="n">
        <f aca="false">SUMIF(B4:B22,"1B",F4:F22)</f>
        <v>165</v>
      </c>
      <c r="G25" s="4" t="n">
        <f aca="false">SUMIF(B4:B22,"1B",G4:G22)</f>
        <v>184</v>
      </c>
    </row>
    <row r="26" customFormat="false" ht="15" hidden="false" customHeight="false" outlineLevel="0" collapsed="false">
      <c r="C26" s="16" t="s">
        <v>258</v>
      </c>
      <c r="F26" s="17" t="n">
        <f aca="false">SUM(F4:F22)</f>
        <v>364</v>
      </c>
      <c r="G26" s="17" t="n">
        <f aca="false">SUM(G4:G22)</f>
        <v>396</v>
      </c>
    </row>
    <row r="29" customFormat="false" ht="15" hidden="false" customHeight="false" outlineLevel="0" collapsed="false">
      <c r="B29" s="18" t="s">
        <v>259</v>
      </c>
    </row>
    <row r="30" customFormat="false" ht="15" hidden="false" customHeight="true" outlineLevel="0" collapsed="false">
      <c r="B30" s="28" t="s">
        <v>260</v>
      </c>
      <c r="C30" s="28"/>
      <c r="D30" s="28"/>
      <c r="E30" s="28"/>
      <c r="F30" s="28"/>
      <c r="G30" s="28"/>
      <c r="H30" s="28"/>
    </row>
    <row r="31" customFormat="false" ht="15" hidden="false" customHeight="true" outlineLevel="0" collapsed="false">
      <c r="B31" s="28" t="s">
        <v>261</v>
      </c>
      <c r="C31" s="28"/>
      <c r="D31" s="28"/>
      <c r="E31" s="28"/>
      <c r="F31" s="28"/>
      <c r="G31" s="28"/>
      <c r="H31" s="28"/>
    </row>
    <row r="32" customFormat="false" ht="15" hidden="false" customHeight="true" outlineLevel="0" collapsed="false">
      <c r="B32" s="28" t="s">
        <v>262</v>
      </c>
      <c r="C32" s="28"/>
      <c r="D32" s="28"/>
      <c r="E32" s="28"/>
      <c r="F32" s="28"/>
      <c r="G32" s="28"/>
      <c r="H32" s="28"/>
    </row>
    <row r="33" customFormat="false" ht="15" hidden="false" customHeight="true" outlineLevel="0" collapsed="false">
      <c r="B33" s="28" t="s">
        <v>263</v>
      </c>
      <c r="C33" s="28"/>
      <c r="D33" s="28"/>
      <c r="E33" s="28"/>
      <c r="F33" s="28"/>
      <c r="G33" s="28"/>
      <c r="H33" s="28"/>
    </row>
    <row r="34" customFormat="false" ht="15" hidden="false" customHeight="true" outlineLevel="0" collapsed="false">
      <c r="B34" s="28" t="s">
        <v>264</v>
      </c>
      <c r="C34" s="28"/>
      <c r="D34" s="28"/>
      <c r="E34" s="28"/>
      <c r="F34" s="28"/>
      <c r="G34" s="28"/>
      <c r="H34" s="28"/>
    </row>
  </sheetData>
  <mergeCells count="6">
    <mergeCell ref="A1:H1"/>
    <mergeCell ref="B30:H30"/>
    <mergeCell ref="B31:H31"/>
    <mergeCell ref="B32:H32"/>
    <mergeCell ref="B33:H33"/>
    <mergeCell ref="B34:H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5"/>
    <col collapsed="false" customWidth="true" hidden="false" outlineLevel="0" max="4" min="3" style="0" width="8"/>
    <col collapsed="false" customWidth="true" hidden="false" outlineLevel="0" max="26" min="5" style="0" width="4"/>
  </cols>
  <sheetData>
    <row r="1" customFormat="false" ht="19.7" hidden="false" customHeight="false" outlineLevel="0" collapsed="false">
      <c r="A1" s="1" t="s">
        <v>265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3" customFormat="false" ht="26.85" hidden="false" customHeight="false" outlineLevel="0" collapsed="false">
      <c r="A3" s="29" t="s">
        <v>157</v>
      </c>
      <c r="B3" s="29" t="s">
        <v>266</v>
      </c>
      <c r="C3" s="29" t="s">
        <v>267</v>
      </c>
      <c r="D3" s="29" t="s">
        <v>268</v>
      </c>
      <c r="E3" s="29" t="s">
        <v>269</v>
      </c>
      <c r="F3" s="29" t="s">
        <v>270</v>
      </c>
      <c r="G3" s="29" t="s">
        <v>271</v>
      </c>
      <c r="H3" s="29" t="s">
        <v>272</v>
      </c>
      <c r="I3" s="29" t="s">
        <v>273</v>
      </c>
      <c r="J3" s="29" t="s">
        <v>274</v>
      </c>
      <c r="K3" s="29" t="s">
        <v>275</v>
      </c>
      <c r="L3" s="29" t="s">
        <v>276</v>
      </c>
      <c r="M3" s="29" t="s">
        <v>277</v>
      </c>
      <c r="N3" s="29" t="s">
        <v>278</v>
      </c>
      <c r="O3" s="29" t="s">
        <v>279</v>
      </c>
      <c r="P3" s="29" t="s">
        <v>280</v>
      </c>
      <c r="Q3" s="29" t="s">
        <v>281</v>
      </c>
      <c r="R3" s="29" t="s">
        <v>282</v>
      </c>
      <c r="S3" s="29" t="s">
        <v>283</v>
      </c>
      <c r="T3" s="29" t="s">
        <v>284</v>
      </c>
      <c r="U3" s="29" t="s">
        <v>285</v>
      </c>
      <c r="V3" s="29" t="s">
        <v>286</v>
      </c>
      <c r="W3" s="29" t="s">
        <v>287</v>
      </c>
      <c r="X3" s="29" t="s">
        <v>288</v>
      </c>
      <c r="Y3" s="29" t="s">
        <v>289</v>
      </c>
      <c r="Z3" s="29" t="s">
        <v>290</v>
      </c>
    </row>
    <row r="4" customFormat="false" ht="15" hidden="false" customHeight="false" outlineLevel="0" collapsed="false">
      <c r="A4" s="25" t="s">
        <v>164</v>
      </c>
      <c r="B4" s="30" t="s">
        <v>165</v>
      </c>
      <c r="C4" s="31" t="n">
        <v>1</v>
      </c>
      <c r="D4" s="31" t="n">
        <v>2</v>
      </c>
      <c r="E4" s="32"/>
      <c r="F4" s="32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customFormat="false" ht="15" hidden="false" customHeight="false" outlineLevel="0" collapsed="false">
      <c r="A5" s="25" t="s">
        <v>170</v>
      </c>
      <c r="B5" s="30" t="s">
        <v>291</v>
      </c>
      <c r="C5" s="31" t="n">
        <v>3</v>
      </c>
      <c r="D5" s="31" t="n">
        <v>4</v>
      </c>
      <c r="E5" s="33"/>
      <c r="F5" s="33"/>
      <c r="G5" s="34"/>
      <c r="H5" s="34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customFormat="false" ht="15" hidden="false" customHeight="false" outlineLevel="0" collapsed="false">
      <c r="A6" s="25" t="s">
        <v>174</v>
      </c>
      <c r="B6" s="30" t="s">
        <v>292</v>
      </c>
      <c r="C6" s="31" t="n">
        <v>5</v>
      </c>
      <c r="D6" s="31" t="n">
        <v>6</v>
      </c>
      <c r="E6" s="33"/>
      <c r="F6" s="33"/>
      <c r="G6" s="33"/>
      <c r="H6" s="33"/>
      <c r="I6" s="34"/>
      <c r="J6" s="34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customFormat="false" ht="15" hidden="false" customHeight="false" outlineLevel="0" collapsed="false">
      <c r="A7" s="25" t="s">
        <v>179</v>
      </c>
      <c r="B7" s="30" t="s">
        <v>293</v>
      </c>
      <c r="C7" s="31" t="n">
        <v>7</v>
      </c>
      <c r="D7" s="31" t="n">
        <v>8</v>
      </c>
      <c r="E7" s="33"/>
      <c r="F7" s="33"/>
      <c r="G7" s="33"/>
      <c r="H7" s="33"/>
      <c r="I7" s="33"/>
      <c r="J7" s="33"/>
      <c r="K7" s="34"/>
      <c r="L7" s="34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customFormat="false" ht="15" hidden="false" customHeight="false" outlineLevel="0" collapsed="false">
      <c r="A8" s="25" t="s">
        <v>184</v>
      </c>
      <c r="B8" s="30" t="s">
        <v>103</v>
      </c>
      <c r="C8" s="31" t="n">
        <v>9</v>
      </c>
      <c r="D8" s="31" t="n">
        <v>10</v>
      </c>
      <c r="E8" s="33"/>
      <c r="F8" s="33"/>
      <c r="G8" s="33"/>
      <c r="H8" s="33"/>
      <c r="I8" s="33"/>
      <c r="J8" s="33"/>
      <c r="K8" s="33"/>
      <c r="L8" s="33"/>
      <c r="M8" s="34"/>
      <c r="N8" s="34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customFormat="false" ht="15" hidden="false" customHeight="false" outlineLevel="0" collapsed="false">
      <c r="A9" s="25" t="s">
        <v>189</v>
      </c>
      <c r="B9" s="30" t="s">
        <v>107</v>
      </c>
      <c r="C9" s="31" t="n">
        <v>11</v>
      </c>
      <c r="D9" s="31" t="n">
        <v>12</v>
      </c>
      <c r="E9" s="33"/>
      <c r="F9" s="33"/>
      <c r="G9" s="33"/>
      <c r="H9" s="33"/>
      <c r="I9" s="33"/>
      <c r="J9" s="33"/>
      <c r="K9" s="33"/>
      <c r="L9" s="33"/>
      <c r="M9" s="33"/>
      <c r="N9" s="33"/>
      <c r="O9" s="34"/>
      <c r="P9" s="34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customFormat="false" ht="15" hidden="false" customHeight="false" outlineLevel="0" collapsed="false">
      <c r="A10" s="25" t="s">
        <v>193</v>
      </c>
      <c r="B10" s="30" t="s">
        <v>115</v>
      </c>
      <c r="C10" s="31" t="n">
        <v>13</v>
      </c>
      <c r="D10" s="31" t="n">
        <v>14</v>
      </c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4"/>
      <c r="R10" s="34"/>
      <c r="S10" s="33"/>
      <c r="T10" s="33"/>
      <c r="U10" s="33"/>
      <c r="V10" s="33"/>
      <c r="W10" s="33"/>
      <c r="X10" s="33"/>
      <c r="Y10" s="33"/>
      <c r="Z10" s="33"/>
    </row>
    <row r="11" customFormat="false" ht="15" hidden="false" customHeight="false" outlineLevel="0" collapsed="false">
      <c r="A11" s="25" t="s">
        <v>198</v>
      </c>
      <c r="B11" s="30" t="s">
        <v>111</v>
      </c>
      <c r="C11" s="31" t="n">
        <v>15</v>
      </c>
      <c r="D11" s="31" t="n">
        <v>16</v>
      </c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4"/>
      <c r="T11" s="34"/>
      <c r="U11" s="33"/>
      <c r="V11" s="33"/>
      <c r="W11" s="33"/>
      <c r="X11" s="33"/>
      <c r="Y11" s="33"/>
      <c r="Z11" s="33"/>
    </row>
    <row r="12" customFormat="false" ht="15" hidden="false" customHeight="false" outlineLevel="0" collapsed="false">
      <c r="A12" s="25" t="s">
        <v>203</v>
      </c>
      <c r="B12" s="30" t="s">
        <v>294</v>
      </c>
      <c r="C12" s="31" t="n">
        <v>17</v>
      </c>
      <c r="D12" s="31" t="n">
        <v>18</v>
      </c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4"/>
      <c r="V12" s="34"/>
      <c r="W12" s="33"/>
      <c r="X12" s="33"/>
      <c r="Y12" s="33"/>
      <c r="Z12" s="33"/>
    </row>
    <row r="13" customFormat="false" ht="15" hidden="false" customHeight="false" outlineLevel="0" collapsed="false">
      <c r="A13" s="25" t="s">
        <v>208</v>
      </c>
      <c r="B13" s="30" t="s">
        <v>295</v>
      </c>
      <c r="C13" s="31" t="n">
        <v>19</v>
      </c>
      <c r="D13" s="31" t="n">
        <v>20</v>
      </c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4"/>
      <c r="X13" s="34"/>
      <c r="Y13" s="33"/>
      <c r="Z13" s="33"/>
    </row>
    <row r="14" customFormat="false" ht="15" hidden="false" customHeight="false" outlineLevel="0" collapsed="false">
      <c r="A14" s="25" t="s">
        <v>213</v>
      </c>
      <c r="B14" s="30" t="s">
        <v>296</v>
      </c>
      <c r="C14" s="31" t="n">
        <v>21</v>
      </c>
      <c r="D14" s="31" t="n">
        <v>22</v>
      </c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4"/>
      <c r="Z14" s="34"/>
    </row>
    <row r="15" customFormat="false" ht="15" hidden="false" customHeight="false" outlineLevel="0" collapsed="false">
      <c r="B15" s="35" t="s">
        <v>297</v>
      </c>
      <c r="Z15" s="36" t="s">
        <v>298</v>
      </c>
    </row>
    <row r="17" customFormat="false" ht="26.85" hidden="false" customHeight="false" outlineLevel="0" collapsed="false">
      <c r="A17" s="37" t="s">
        <v>157</v>
      </c>
      <c r="B17" s="37" t="s">
        <v>266</v>
      </c>
      <c r="C17" s="37" t="s">
        <v>267</v>
      </c>
      <c r="D17" s="37" t="s">
        <v>268</v>
      </c>
      <c r="E17" s="29" t="s">
        <v>299</v>
      </c>
      <c r="F17" s="29" t="s">
        <v>300</v>
      </c>
      <c r="G17" s="29" t="s">
        <v>301</v>
      </c>
      <c r="H17" s="29" t="s">
        <v>302</v>
      </c>
      <c r="I17" s="29" t="s">
        <v>303</v>
      </c>
      <c r="J17" s="29" t="s">
        <v>304</v>
      </c>
      <c r="K17" s="29" t="s">
        <v>305</v>
      </c>
      <c r="L17" s="29" t="s">
        <v>306</v>
      </c>
      <c r="M17" s="29" t="s">
        <v>307</v>
      </c>
      <c r="N17" s="29" t="s">
        <v>308</v>
      </c>
      <c r="O17" s="29" t="s">
        <v>309</v>
      </c>
      <c r="P17" s="29" t="s">
        <v>310</v>
      </c>
      <c r="Q17" s="29" t="s">
        <v>311</v>
      </c>
      <c r="R17" s="29" t="s">
        <v>312</v>
      </c>
      <c r="S17" s="29" t="s">
        <v>313</v>
      </c>
      <c r="T17" s="29" t="s">
        <v>314</v>
      </c>
    </row>
    <row r="18" customFormat="false" ht="28.35" hidden="false" customHeight="false" outlineLevel="0" collapsed="false">
      <c r="A18" s="25" t="s">
        <v>218</v>
      </c>
      <c r="B18" s="30" t="s">
        <v>315</v>
      </c>
      <c r="C18" s="31" t="n">
        <v>23</v>
      </c>
      <c r="D18" s="31" t="n">
        <v>24</v>
      </c>
      <c r="E18" s="38"/>
      <c r="F18" s="38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</row>
    <row r="19" customFormat="false" ht="15" hidden="false" customHeight="false" outlineLevel="0" collapsed="false">
      <c r="A19" s="25" t="s">
        <v>223</v>
      </c>
      <c r="B19" s="30" t="s">
        <v>316</v>
      </c>
      <c r="C19" s="31" t="n">
        <v>25</v>
      </c>
      <c r="D19" s="31" t="n">
        <v>26</v>
      </c>
      <c r="E19" s="33"/>
      <c r="F19" s="33"/>
      <c r="G19" s="38"/>
      <c r="H19" s="38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</row>
    <row r="20" customFormat="false" ht="15" hidden="false" customHeight="false" outlineLevel="0" collapsed="false">
      <c r="A20" s="25" t="s">
        <v>228</v>
      </c>
      <c r="B20" s="30" t="s">
        <v>317</v>
      </c>
      <c r="C20" s="31" t="n">
        <v>27</v>
      </c>
      <c r="D20" s="31" t="n">
        <v>28</v>
      </c>
      <c r="E20" s="33"/>
      <c r="F20" s="33"/>
      <c r="G20" s="33"/>
      <c r="H20" s="33"/>
      <c r="I20" s="38"/>
      <c r="J20" s="38"/>
      <c r="K20" s="33"/>
      <c r="L20" s="33"/>
      <c r="M20" s="33"/>
      <c r="N20" s="33"/>
      <c r="O20" s="33"/>
      <c r="P20" s="33"/>
      <c r="Q20" s="33"/>
      <c r="R20" s="33"/>
      <c r="S20" s="33"/>
      <c r="T20" s="33"/>
    </row>
    <row r="21" customFormat="false" ht="15" hidden="false" customHeight="false" outlineLevel="0" collapsed="false">
      <c r="A21" s="25" t="s">
        <v>232</v>
      </c>
      <c r="B21" s="30" t="s">
        <v>318</v>
      </c>
      <c r="C21" s="31" t="n">
        <v>29</v>
      </c>
      <c r="D21" s="31" t="n">
        <v>30</v>
      </c>
      <c r="E21" s="33"/>
      <c r="F21" s="33"/>
      <c r="G21" s="33"/>
      <c r="H21" s="33"/>
      <c r="I21" s="33"/>
      <c r="J21" s="33"/>
      <c r="K21" s="38"/>
      <c r="L21" s="38"/>
      <c r="M21" s="33"/>
      <c r="N21" s="33"/>
      <c r="O21" s="33"/>
      <c r="P21" s="33"/>
      <c r="Q21" s="33"/>
      <c r="R21" s="33"/>
      <c r="S21" s="33"/>
      <c r="T21" s="33"/>
    </row>
    <row r="22" customFormat="false" ht="15" hidden="false" customHeight="false" outlineLevel="0" collapsed="false">
      <c r="A22" s="25" t="s">
        <v>237</v>
      </c>
      <c r="B22" s="30" t="s">
        <v>319</v>
      </c>
      <c r="C22" s="31" t="n">
        <v>31</v>
      </c>
      <c r="D22" s="31" t="n">
        <v>32</v>
      </c>
      <c r="E22" s="33"/>
      <c r="F22" s="33"/>
      <c r="G22" s="33"/>
      <c r="H22" s="33"/>
      <c r="I22" s="33"/>
      <c r="J22" s="33"/>
      <c r="K22" s="33"/>
      <c r="L22" s="33"/>
      <c r="M22" s="38"/>
      <c r="N22" s="38"/>
      <c r="O22" s="33"/>
      <c r="P22" s="33"/>
      <c r="Q22" s="33"/>
      <c r="R22" s="33"/>
      <c r="S22" s="33"/>
      <c r="T22" s="33"/>
    </row>
    <row r="23" customFormat="false" ht="28.35" hidden="false" customHeight="false" outlineLevel="0" collapsed="false">
      <c r="A23" s="25" t="s">
        <v>242</v>
      </c>
      <c r="B23" s="30" t="s">
        <v>320</v>
      </c>
      <c r="C23" s="31" t="n">
        <v>33</v>
      </c>
      <c r="D23" s="31" t="n">
        <v>34</v>
      </c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8"/>
      <c r="P23" s="38"/>
      <c r="Q23" s="33"/>
      <c r="R23" s="33"/>
      <c r="S23" s="33"/>
      <c r="T23" s="33"/>
    </row>
    <row r="24" customFormat="false" ht="15" hidden="false" customHeight="false" outlineLevel="0" collapsed="false">
      <c r="A24" s="25" t="s">
        <v>247</v>
      </c>
      <c r="B24" s="30" t="s">
        <v>321</v>
      </c>
      <c r="C24" s="31" t="n">
        <v>35</v>
      </c>
      <c r="D24" s="31" t="n">
        <v>36</v>
      </c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8"/>
      <c r="R24" s="38"/>
      <c r="S24" s="33"/>
      <c r="T24" s="33"/>
    </row>
    <row r="25" customFormat="false" ht="15" hidden="false" customHeight="false" outlineLevel="0" collapsed="false">
      <c r="A25" s="25" t="s">
        <v>252</v>
      </c>
      <c r="B25" s="30" t="s">
        <v>322</v>
      </c>
      <c r="C25" s="31" t="n">
        <v>37</v>
      </c>
      <c r="D25" s="31" t="n">
        <v>38</v>
      </c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8"/>
      <c r="T25" s="38"/>
    </row>
    <row r="26" customFormat="false" ht="15" hidden="false" customHeight="false" outlineLevel="0" collapsed="false">
      <c r="B26" s="35" t="s">
        <v>323</v>
      </c>
      <c r="T26" s="36" t="s">
        <v>298</v>
      </c>
    </row>
    <row r="29" customFormat="false" ht="15" hidden="false" customHeight="false" outlineLevel="0" collapsed="false">
      <c r="B29" s="18" t="s">
        <v>151</v>
      </c>
    </row>
    <row r="30" customFormat="false" ht="15" hidden="false" customHeight="false" outlineLevel="0" collapsed="false">
      <c r="B30" s="39" t="s">
        <v>324</v>
      </c>
    </row>
    <row r="31" customFormat="false" ht="15" hidden="false" customHeight="false" outlineLevel="0" collapsed="false">
      <c r="B31" s="22" t="s">
        <v>325</v>
      </c>
    </row>
    <row r="32" customFormat="false" ht="15" hidden="false" customHeight="false" outlineLevel="0" collapsed="false">
      <c r="B32" s="23" t="s">
        <v>326</v>
      </c>
    </row>
    <row r="33" customFormat="false" ht="15" hidden="false" customHeight="false" outlineLevel="0" collapsed="false">
      <c r="B33" s="40" t="s">
        <v>327</v>
      </c>
    </row>
  </sheetData>
  <mergeCells count="1">
    <mergeCell ref="A1:Z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5"/>
    <col collapsed="false" customWidth="true" hidden="false" outlineLevel="0" max="3" min="3" style="0" width="30"/>
    <col collapsed="false" customWidth="true" hidden="false" outlineLevel="0" max="6" min="4" style="0" width="15"/>
    <col collapsed="false" customWidth="true" hidden="false" outlineLevel="0" max="7" min="7" style="0" width="50"/>
  </cols>
  <sheetData>
    <row r="2" customFormat="false" ht="19.7" hidden="false" customHeight="false" outlineLevel="0" collapsed="false">
      <c r="B2" s="1" t="s">
        <v>328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41" t="s">
        <v>329</v>
      </c>
      <c r="C4" s="41"/>
      <c r="D4" s="41"/>
      <c r="E4" s="41"/>
      <c r="F4" s="41"/>
      <c r="G4" s="41"/>
    </row>
    <row r="5" customFormat="false" ht="39.55" hidden="false" customHeight="false" outlineLevel="0" collapsed="false">
      <c r="B5" s="29" t="s">
        <v>330</v>
      </c>
      <c r="C5" s="29" t="s">
        <v>331</v>
      </c>
      <c r="D5" s="29" t="s">
        <v>332</v>
      </c>
      <c r="E5" s="29" t="s">
        <v>333</v>
      </c>
      <c r="F5" s="29" t="s">
        <v>334</v>
      </c>
      <c r="G5" s="29" t="s">
        <v>335</v>
      </c>
    </row>
    <row r="6" customFormat="false" ht="49.5" hidden="false" customHeight="true" outlineLevel="0" collapsed="false">
      <c r="B6" s="8" t="s">
        <v>336</v>
      </c>
      <c r="C6" s="42" t="s">
        <v>337</v>
      </c>
      <c r="D6" s="43" t="n">
        <v>0.8</v>
      </c>
      <c r="E6" s="31" t="n">
        <f aca="false">ROUND(22*D6,1)</f>
        <v>17.6</v>
      </c>
      <c r="F6" s="31" t="n">
        <f aca="false">E6*19</f>
        <v>334.4</v>
      </c>
      <c r="G6" s="30" t="s">
        <v>338</v>
      </c>
    </row>
    <row r="7" customFormat="false" ht="49.5" hidden="false" customHeight="true" outlineLevel="0" collapsed="false">
      <c r="B7" s="8" t="s">
        <v>339</v>
      </c>
      <c r="C7" s="42" t="s">
        <v>337</v>
      </c>
      <c r="D7" s="43" t="n">
        <v>1</v>
      </c>
      <c r="E7" s="31" t="n">
        <f aca="false">ROUND(22*D7,1)</f>
        <v>22</v>
      </c>
      <c r="F7" s="31" t="n">
        <f aca="false">E7*19</f>
        <v>418</v>
      </c>
      <c r="G7" s="30" t="s">
        <v>340</v>
      </c>
    </row>
    <row r="8" customFormat="false" ht="15" hidden="false" customHeight="false" outlineLevel="0" collapsed="false">
      <c r="B8" s="4" t="s">
        <v>341</v>
      </c>
      <c r="E8" s="4" t="n">
        <f aca="false">SUM(E6:E7)</f>
        <v>39.6</v>
      </c>
      <c r="F8" s="44" t="n">
        <f aca="false">SUM(F6:F7)</f>
        <v>752.4</v>
      </c>
    </row>
    <row r="10" customFormat="false" ht="15" hidden="false" customHeight="false" outlineLevel="0" collapsed="false">
      <c r="B10" s="4" t="s">
        <v>342</v>
      </c>
    </row>
    <row r="11" customFormat="false" ht="28.35" hidden="false" customHeight="false" outlineLevel="0" collapsed="false">
      <c r="B11" s="45" t="s">
        <v>343</v>
      </c>
      <c r="F11" s="46" t="n">
        <f aca="false">03_Sprints!G29</f>
        <v>0</v>
      </c>
    </row>
    <row r="12" customFormat="false" ht="15" hidden="false" customHeight="false" outlineLevel="0" collapsed="false">
      <c r="B12" s="45" t="s">
        <v>344</v>
      </c>
      <c r="F12" s="47" t="n">
        <f aca="false">F8</f>
        <v>752.4</v>
      </c>
    </row>
    <row r="13" customFormat="false" ht="15" hidden="false" customHeight="false" outlineLevel="0" collapsed="false">
      <c r="B13" s="4" t="s">
        <v>345</v>
      </c>
      <c r="F13" s="48" t="n">
        <f aca="false">F11/F12</f>
        <v>0</v>
      </c>
    </row>
    <row r="16" customFormat="false" ht="15" hidden="false" customHeight="false" outlineLevel="0" collapsed="false">
      <c r="B16" s="41" t="s">
        <v>346</v>
      </c>
      <c r="C16" s="41"/>
      <c r="D16" s="41"/>
      <c r="E16" s="41"/>
      <c r="F16" s="41"/>
      <c r="G16" s="41"/>
    </row>
    <row r="17" customFormat="false" ht="26.85" hidden="false" customHeight="false" outlineLevel="0" collapsed="false">
      <c r="B17" s="29" t="s">
        <v>330</v>
      </c>
      <c r="C17" s="29" t="s">
        <v>347</v>
      </c>
      <c r="D17" s="29" t="s">
        <v>348</v>
      </c>
      <c r="E17" s="29" t="s">
        <v>349</v>
      </c>
      <c r="F17" s="29" t="s">
        <v>350</v>
      </c>
      <c r="G17" s="29" t="s">
        <v>351</v>
      </c>
    </row>
    <row r="18" customFormat="false" ht="28.35" hidden="false" customHeight="false" outlineLevel="0" collapsed="false">
      <c r="B18" s="30" t="s">
        <v>352</v>
      </c>
      <c r="C18" s="31" t="s">
        <v>353</v>
      </c>
      <c r="D18" s="11" t="n">
        <v>10</v>
      </c>
      <c r="E18" s="49" t="n">
        <v>1.5</v>
      </c>
      <c r="F18" s="50" t="n">
        <f aca="false">D18*E18</f>
        <v>15</v>
      </c>
      <c r="G18" s="30" t="s">
        <v>354</v>
      </c>
    </row>
    <row r="19" customFormat="false" ht="15" hidden="false" customHeight="false" outlineLevel="0" collapsed="false">
      <c r="B19" s="30" t="s">
        <v>355</v>
      </c>
      <c r="C19" s="31" t="s">
        <v>356</v>
      </c>
      <c r="D19" s="11" t="n">
        <v>3</v>
      </c>
      <c r="E19" s="49" t="n">
        <v>3</v>
      </c>
      <c r="F19" s="50" t="n">
        <f aca="false">D19*E19</f>
        <v>9</v>
      </c>
      <c r="G19" s="30" t="s">
        <v>357</v>
      </c>
    </row>
    <row r="20" customFormat="false" ht="15" hidden="false" customHeight="false" outlineLevel="0" collapsed="false">
      <c r="B20" s="30" t="s">
        <v>358</v>
      </c>
      <c r="C20" s="31" t="s">
        <v>356</v>
      </c>
      <c r="D20" s="11" t="n">
        <v>2</v>
      </c>
      <c r="E20" s="49" t="n">
        <v>2.5</v>
      </c>
      <c r="F20" s="50" t="n">
        <f aca="false">D20*E20</f>
        <v>5</v>
      </c>
      <c r="G20" s="30" t="s">
        <v>359</v>
      </c>
    </row>
    <row r="21" customFormat="false" ht="15" hidden="false" customHeight="false" outlineLevel="0" collapsed="false">
      <c r="B21" s="30" t="s">
        <v>360</v>
      </c>
      <c r="C21" s="31" t="s">
        <v>361</v>
      </c>
      <c r="D21" s="11" t="n">
        <v>2</v>
      </c>
      <c r="E21" s="49" t="n">
        <v>1.5</v>
      </c>
      <c r="F21" s="50" t="n">
        <f aca="false">D21*E21</f>
        <v>3</v>
      </c>
      <c r="G21" s="30" t="s">
        <v>362</v>
      </c>
    </row>
    <row r="22" customFormat="false" ht="15" hidden="false" customHeight="false" outlineLevel="0" collapsed="false">
      <c r="B22" s="4" t="s">
        <v>363</v>
      </c>
      <c r="F22" s="51" t="n">
        <f aca="false">SUM(F18:F21)</f>
        <v>32</v>
      </c>
    </row>
  </sheetData>
  <mergeCells count="3">
    <mergeCell ref="B2:G2"/>
    <mergeCell ref="B4:G4"/>
    <mergeCell ref="B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15"/>
    <col collapsed="false" customWidth="true" hidden="false" outlineLevel="0" max="5" min="5" style="0" width="20"/>
    <col collapsed="false" customWidth="true" hidden="false" outlineLevel="0" max="6" min="6" style="0" width="40"/>
  </cols>
  <sheetData>
    <row r="2" customFormat="false" ht="19.7" hidden="false" customHeight="false" outlineLevel="0" collapsed="false">
      <c r="B2" s="1" t="s">
        <v>364</v>
      </c>
      <c r="C2" s="1"/>
      <c r="D2" s="1"/>
      <c r="E2" s="1"/>
      <c r="F2" s="1"/>
    </row>
    <row r="3" customFormat="false" ht="15" hidden="false" customHeight="false" outlineLevel="0" collapsed="false">
      <c r="B3" s="2" t="s">
        <v>365</v>
      </c>
      <c r="C3" s="2"/>
      <c r="D3" s="2"/>
      <c r="E3" s="2"/>
      <c r="F3" s="2"/>
    </row>
    <row r="5" customFormat="false" ht="15" hidden="false" customHeight="false" outlineLevel="0" collapsed="false">
      <c r="B5" s="41" t="s">
        <v>366</v>
      </c>
      <c r="C5" s="41"/>
      <c r="D5" s="41"/>
      <c r="E5" s="41"/>
      <c r="F5" s="41"/>
    </row>
    <row r="6" customFormat="false" ht="15" hidden="false" customHeight="false" outlineLevel="0" collapsed="false">
      <c r="B6" s="8" t="s">
        <v>367</v>
      </c>
      <c r="C6" s="52" t="n">
        <v>45</v>
      </c>
      <c r="D6" s="33"/>
      <c r="E6" s="33"/>
      <c r="F6" s="30" t="s">
        <v>368</v>
      </c>
    </row>
    <row r="7" customFormat="false" ht="28.35" hidden="false" customHeight="false" outlineLevel="0" collapsed="false">
      <c r="B7" s="8" t="s">
        <v>369</v>
      </c>
      <c r="C7" s="52" t="n">
        <v>1.25</v>
      </c>
      <c r="D7" s="33"/>
      <c r="E7" s="33"/>
      <c r="F7" s="30" t="s">
        <v>370</v>
      </c>
    </row>
    <row r="8" customFormat="false" ht="15" hidden="false" customHeight="false" outlineLevel="0" collapsed="false">
      <c r="B8" s="8" t="s">
        <v>371</v>
      </c>
      <c r="C8" s="53" t="n">
        <f aca="false">C6*C7</f>
        <v>56.25</v>
      </c>
      <c r="D8" s="33"/>
      <c r="E8" s="33"/>
      <c r="F8" s="30" t="s">
        <v>372</v>
      </c>
    </row>
    <row r="9" customFormat="false" ht="15" hidden="false" customHeight="false" outlineLevel="0" collapsed="false">
      <c r="B9" s="8" t="s">
        <v>373</v>
      </c>
      <c r="C9" s="52" t="n">
        <v>2</v>
      </c>
      <c r="D9" s="33"/>
      <c r="E9" s="33"/>
      <c r="F9" s="30" t="s">
        <v>83</v>
      </c>
    </row>
    <row r="10" customFormat="false" ht="15" hidden="false" customHeight="false" outlineLevel="0" collapsed="false">
      <c r="B10" s="8" t="s">
        <v>374</v>
      </c>
      <c r="C10" s="52" t="n">
        <v>10</v>
      </c>
      <c r="D10" s="33"/>
      <c r="E10" s="33"/>
      <c r="F10" s="30" t="s">
        <v>375</v>
      </c>
    </row>
    <row r="11" customFormat="false" ht="15" hidden="false" customHeight="false" outlineLevel="0" collapsed="false">
      <c r="B11" s="8" t="s">
        <v>376</v>
      </c>
      <c r="C11" s="52" t="n">
        <v>10</v>
      </c>
      <c r="D11" s="33"/>
      <c r="E11" s="33"/>
      <c r="F11" s="30" t="s">
        <v>377</v>
      </c>
    </row>
    <row r="14" customFormat="false" ht="15" hidden="false" customHeight="false" outlineLevel="0" collapsed="false">
      <c r="B14" s="41" t="s">
        <v>378</v>
      </c>
      <c r="C14" s="41"/>
      <c r="D14" s="41"/>
      <c r="E14" s="41"/>
      <c r="F14" s="41"/>
    </row>
    <row r="15" customFormat="false" ht="15" hidden="false" customHeight="false" outlineLevel="0" collapsed="false">
      <c r="B15" s="29" t="s">
        <v>379</v>
      </c>
      <c r="C15" s="29" t="s">
        <v>380</v>
      </c>
      <c r="D15" s="29" t="s">
        <v>381</v>
      </c>
      <c r="E15" s="29" t="s">
        <v>382</v>
      </c>
      <c r="F15" s="29" t="s">
        <v>351</v>
      </c>
    </row>
    <row r="16" customFormat="false" ht="15" hidden="false" customHeight="false" outlineLevel="0" collapsed="false">
      <c r="B16" s="30" t="s">
        <v>383</v>
      </c>
      <c r="C16" s="54" t="n">
        <f aca="false">C8*C9</f>
        <v>112.5</v>
      </c>
      <c r="D16" s="55" t="n">
        <f aca="false">C10</f>
        <v>10</v>
      </c>
      <c r="E16" s="54" t="n">
        <f aca="false">C16*D16</f>
        <v>1125</v>
      </c>
      <c r="F16" s="30" t="s">
        <v>384</v>
      </c>
    </row>
    <row r="17" customFormat="false" ht="15" hidden="false" customHeight="false" outlineLevel="0" collapsed="false">
      <c r="B17" s="4" t="s">
        <v>385</v>
      </c>
      <c r="E17" s="56" t="n">
        <f aca="false">E16</f>
        <v>1125</v>
      </c>
    </row>
    <row r="20" customFormat="false" ht="15" hidden="false" customHeight="false" outlineLevel="0" collapsed="false">
      <c r="B20" s="41" t="s">
        <v>386</v>
      </c>
      <c r="C20" s="41"/>
      <c r="D20" s="41"/>
      <c r="E20" s="41"/>
      <c r="F20" s="41"/>
    </row>
    <row r="21" customFormat="false" ht="15" hidden="false" customHeight="false" outlineLevel="0" collapsed="false">
      <c r="B21" s="29" t="s">
        <v>379</v>
      </c>
      <c r="C21" s="29" t="s">
        <v>380</v>
      </c>
      <c r="D21" s="29" t="s">
        <v>381</v>
      </c>
      <c r="E21" s="29" t="s">
        <v>382</v>
      </c>
      <c r="F21" s="29" t="s">
        <v>351</v>
      </c>
    </row>
    <row r="22" customFormat="false" ht="15" hidden="false" customHeight="false" outlineLevel="0" collapsed="false">
      <c r="B22" s="30" t="s">
        <v>387</v>
      </c>
      <c r="C22" s="57" t="n">
        <v>1</v>
      </c>
      <c r="D22" s="11" t="n">
        <v>10</v>
      </c>
      <c r="E22" s="54" t="n">
        <f aca="false">C22*D22</f>
        <v>10</v>
      </c>
      <c r="F22" s="30" t="s">
        <v>388</v>
      </c>
    </row>
    <row r="23" customFormat="false" ht="15" hidden="false" customHeight="false" outlineLevel="0" collapsed="false">
      <c r="B23" s="30" t="s">
        <v>389</v>
      </c>
      <c r="C23" s="57" t="n">
        <v>0.5</v>
      </c>
      <c r="D23" s="11" t="n">
        <v>10</v>
      </c>
      <c r="E23" s="54" t="n">
        <f aca="false">C23*D23</f>
        <v>5</v>
      </c>
      <c r="F23" s="30" t="s">
        <v>390</v>
      </c>
    </row>
    <row r="24" customFormat="false" ht="15" hidden="false" customHeight="false" outlineLevel="0" collapsed="false">
      <c r="B24" s="30" t="s">
        <v>391</v>
      </c>
      <c r="C24" s="57" t="n">
        <v>0.05</v>
      </c>
      <c r="D24" s="11" t="n">
        <v>10</v>
      </c>
      <c r="E24" s="54" t="n">
        <f aca="false">C24*D24</f>
        <v>0.5</v>
      </c>
      <c r="F24" s="30" t="s">
        <v>392</v>
      </c>
    </row>
    <row r="25" customFormat="false" ht="15" hidden="false" customHeight="false" outlineLevel="0" collapsed="false">
      <c r="B25" s="30" t="s">
        <v>393</v>
      </c>
      <c r="C25" s="57" t="n">
        <v>0.2</v>
      </c>
      <c r="D25" s="11" t="n">
        <v>10</v>
      </c>
      <c r="E25" s="54" t="n">
        <f aca="false">C25*D25</f>
        <v>2</v>
      </c>
      <c r="F25" s="30" t="s">
        <v>394</v>
      </c>
    </row>
    <row r="26" customFormat="false" ht="15" hidden="false" customHeight="false" outlineLevel="0" collapsed="false">
      <c r="B26" s="30" t="s">
        <v>395</v>
      </c>
      <c r="C26" s="57" t="n">
        <v>0.5</v>
      </c>
      <c r="D26" s="11" t="n">
        <v>10</v>
      </c>
      <c r="E26" s="54" t="n">
        <f aca="false">C26*D26</f>
        <v>5</v>
      </c>
      <c r="F26" s="30" t="s">
        <v>396</v>
      </c>
    </row>
    <row r="27" customFormat="false" ht="15" hidden="false" customHeight="false" outlineLevel="0" collapsed="false">
      <c r="B27" s="30" t="s">
        <v>397</v>
      </c>
      <c r="C27" s="57" t="n">
        <v>0</v>
      </c>
      <c r="D27" s="11" t="n">
        <v>10</v>
      </c>
      <c r="E27" s="54" t="n">
        <f aca="false">C27*D27</f>
        <v>0</v>
      </c>
      <c r="F27" s="30" t="s">
        <v>398</v>
      </c>
    </row>
    <row r="28" customFormat="false" ht="15" hidden="false" customHeight="false" outlineLevel="0" collapsed="false">
      <c r="B28" s="30" t="s">
        <v>399</v>
      </c>
      <c r="C28" s="57" t="n">
        <v>0.3</v>
      </c>
      <c r="D28" s="11" t="n">
        <v>10</v>
      </c>
      <c r="E28" s="54" t="n">
        <f aca="false">C28*D28</f>
        <v>3</v>
      </c>
      <c r="F28" s="30" t="s">
        <v>400</v>
      </c>
    </row>
    <row r="29" customFormat="false" ht="28.35" hidden="false" customHeight="false" outlineLevel="0" collapsed="false">
      <c r="B29" s="30" t="s">
        <v>401</v>
      </c>
      <c r="C29" s="57" t="n">
        <v>1.5</v>
      </c>
      <c r="D29" s="11" t="n">
        <v>10</v>
      </c>
      <c r="E29" s="54" t="n">
        <f aca="false">C29*D29</f>
        <v>15</v>
      </c>
      <c r="F29" s="30" t="s">
        <v>402</v>
      </c>
    </row>
    <row r="30" customFormat="false" ht="15" hidden="false" customHeight="false" outlineLevel="0" collapsed="false">
      <c r="B30" s="30" t="s">
        <v>403</v>
      </c>
      <c r="C30" s="57" t="n">
        <v>0.5</v>
      </c>
      <c r="D30" s="11" t="n">
        <v>10</v>
      </c>
      <c r="E30" s="54" t="n">
        <f aca="false">C30*D30</f>
        <v>5</v>
      </c>
      <c r="F30" s="30" t="s">
        <v>404</v>
      </c>
    </row>
    <row r="31" customFormat="false" ht="15" hidden="false" customHeight="false" outlineLevel="0" collapsed="false">
      <c r="B31" s="30" t="s">
        <v>405</v>
      </c>
      <c r="C31" s="57" t="n">
        <v>0.2</v>
      </c>
      <c r="D31" s="11" t="n">
        <v>10</v>
      </c>
      <c r="E31" s="54" t="n">
        <f aca="false">C31*D31</f>
        <v>2</v>
      </c>
      <c r="F31" s="30" t="s">
        <v>406</v>
      </c>
    </row>
    <row r="32" customFormat="false" ht="15" hidden="false" customHeight="false" outlineLevel="0" collapsed="false">
      <c r="B32" s="30" t="s">
        <v>407</v>
      </c>
      <c r="C32" s="57" t="n">
        <v>0.5</v>
      </c>
      <c r="D32" s="11" t="n">
        <v>10</v>
      </c>
      <c r="E32" s="54" t="n">
        <f aca="false">C32*D32</f>
        <v>5</v>
      </c>
      <c r="F32" s="30" t="s">
        <v>408</v>
      </c>
    </row>
    <row r="33" customFormat="false" ht="15" hidden="false" customHeight="false" outlineLevel="0" collapsed="false">
      <c r="B33" s="4" t="s">
        <v>409</v>
      </c>
      <c r="E33" s="56" t="n">
        <f aca="false">SUM(E22:E32)</f>
        <v>52.5</v>
      </c>
    </row>
    <row r="36" customFormat="false" ht="15" hidden="false" customHeight="false" outlineLevel="0" collapsed="false">
      <c r="B36" s="41" t="s">
        <v>410</v>
      </c>
      <c r="C36" s="41"/>
      <c r="D36" s="41"/>
      <c r="E36" s="41"/>
      <c r="F36" s="41"/>
    </row>
    <row r="37" customFormat="false" ht="15" hidden="false" customHeight="false" outlineLevel="0" collapsed="false">
      <c r="B37" s="29" t="s">
        <v>379</v>
      </c>
      <c r="C37" s="29" t="s">
        <v>411</v>
      </c>
      <c r="D37" s="29"/>
      <c r="E37" s="29"/>
      <c r="F37" s="29" t="s">
        <v>351</v>
      </c>
    </row>
    <row r="38" customFormat="false" ht="15" hidden="false" customHeight="false" outlineLevel="0" collapsed="false">
      <c r="B38" s="30" t="s">
        <v>412</v>
      </c>
      <c r="C38" s="57" t="n">
        <v>2.5</v>
      </c>
      <c r="D38" s="33"/>
      <c r="E38" s="54" t="n">
        <f aca="false">C38</f>
        <v>2.5</v>
      </c>
      <c r="F38" s="30" t="s">
        <v>413</v>
      </c>
    </row>
    <row r="39" customFormat="false" ht="15" hidden="false" customHeight="false" outlineLevel="0" collapsed="false">
      <c r="B39" s="30" t="s">
        <v>414</v>
      </c>
      <c r="C39" s="57" t="n">
        <v>0.65</v>
      </c>
      <c r="D39" s="33"/>
      <c r="E39" s="54" t="n">
        <f aca="false">C39</f>
        <v>0.65</v>
      </c>
      <c r="F39" s="30" t="s">
        <v>415</v>
      </c>
    </row>
    <row r="40" customFormat="false" ht="15" hidden="false" customHeight="false" outlineLevel="0" collapsed="false">
      <c r="B40" s="30" t="s">
        <v>416</v>
      </c>
      <c r="C40" s="57" t="n">
        <v>28</v>
      </c>
      <c r="D40" s="33"/>
      <c r="E40" s="54" t="n">
        <f aca="false">C40</f>
        <v>28</v>
      </c>
      <c r="F40" s="30" t="s">
        <v>417</v>
      </c>
    </row>
    <row r="41" customFormat="false" ht="15" hidden="false" customHeight="false" outlineLevel="0" collapsed="false">
      <c r="B41" s="30" t="s">
        <v>418</v>
      </c>
      <c r="C41" s="57" t="n">
        <v>8</v>
      </c>
      <c r="D41" s="33"/>
      <c r="E41" s="54" t="n">
        <f aca="false">C41</f>
        <v>8</v>
      </c>
      <c r="F41" s="30" t="s">
        <v>419</v>
      </c>
    </row>
    <row r="42" customFormat="false" ht="15" hidden="false" customHeight="false" outlineLevel="0" collapsed="false">
      <c r="B42" s="30" t="s">
        <v>420</v>
      </c>
      <c r="C42" s="57" t="n">
        <v>0</v>
      </c>
      <c r="D42" s="33"/>
      <c r="E42" s="54" t="n">
        <f aca="false">C42</f>
        <v>0</v>
      </c>
      <c r="F42" s="30" t="s">
        <v>421</v>
      </c>
    </row>
    <row r="43" customFormat="false" ht="15" hidden="false" customHeight="false" outlineLevel="0" collapsed="false">
      <c r="B43" s="4" t="s">
        <v>422</v>
      </c>
      <c r="E43" s="56" t="n">
        <f aca="false">SUM(E38:E42)</f>
        <v>39.15</v>
      </c>
    </row>
    <row r="46" customFormat="false" ht="15" hidden="false" customHeight="false" outlineLevel="0" collapsed="false">
      <c r="B46" s="41" t="s">
        <v>423</v>
      </c>
      <c r="C46" s="41"/>
      <c r="D46" s="41"/>
      <c r="E46" s="41"/>
      <c r="F46" s="41"/>
    </row>
    <row r="47" customFormat="false" ht="28.35" hidden="false" customHeight="false" outlineLevel="0" collapsed="false">
      <c r="B47" s="45" t="s">
        <v>424</v>
      </c>
      <c r="E47" s="58" t="n">
        <f aca="false">05_Resources!F22</f>
        <v>32</v>
      </c>
      <c r="F47" s="45" t="s">
        <v>425</v>
      </c>
    </row>
    <row r="50" customFormat="false" ht="15" hidden="false" customHeight="false" outlineLevel="0" collapsed="false">
      <c r="B50" s="41" t="s">
        <v>258</v>
      </c>
      <c r="C50" s="41"/>
      <c r="D50" s="41"/>
      <c r="E50" s="41"/>
      <c r="F50" s="41"/>
    </row>
    <row r="51" customFormat="false" ht="15" hidden="false" customHeight="false" outlineLevel="0" collapsed="false">
      <c r="B51" s="4" t="s">
        <v>426</v>
      </c>
      <c r="E51" s="59" t="n">
        <f aca="false">E17+E33+E43+E47</f>
        <v>1248.65</v>
      </c>
    </row>
    <row r="52" customFormat="false" ht="15" hidden="false" customHeight="false" outlineLevel="0" collapsed="false">
      <c r="B52" s="4" t="s">
        <v>427</v>
      </c>
      <c r="C52" s="60" t="n">
        <v>0.15</v>
      </c>
      <c r="E52" s="61" t="n">
        <f aca="false">E51*C52</f>
        <v>187.2975</v>
      </c>
      <c r="F52" s="45" t="s">
        <v>428</v>
      </c>
    </row>
    <row r="53" customFormat="false" ht="15" hidden="false" customHeight="false" outlineLevel="0" collapsed="false">
      <c r="B53" s="62" t="s">
        <v>429</v>
      </c>
      <c r="E53" s="63" t="n">
        <f aca="false">E51+E52</f>
        <v>1435.9475</v>
      </c>
    </row>
    <row r="54" customFormat="false" ht="15" hidden="false" customHeight="false" outlineLevel="0" collapsed="false">
      <c r="B54" s="4" t="s">
        <v>430</v>
      </c>
      <c r="E54" s="64" t="n">
        <f aca="false">E53/1000</f>
        <v>1.4359475</v>
      </c>
    </row>
    <row r="55" customFormat="false" ht="15" hidden="false" customHeight="false" outlineLevel="0" collapsed="false">
      <c r="B55" s="4" t="s">
        <v>431</v>
      </c>
      <c r="C55" s="65" t="n">
        <v>25500</v>
      </c>
    </row>
    <row r="56" customFormat="false" ht="15" hidden="false" customHeight="false" outlineLevel="0" collapsed="false">
      <c r="B56" s="4" t="s">
        <v>432</v>
      </c>
      <c r="E56" s="66" t="n">
        <f aca="false">E53*1000000/C55</f>
        <v>56311.6666666667</v>
      </c>
    </row>
    <row r="59" customFormat="false" ht="15" hidden="false" customHeight="false" outlineLevel="0" collapsed="false">
      <c r="B59" s="41" t="s">
        <v>433</v>
      </c>
      <c r="C59" s="41"/>
      <c r="D59" s="41"/>
      <c r="E59" s="41"/>
      <c r="F59" s="41"/>
    </row>
    <row r="60" customFormat="false" ht="15" hidden="false" customHeight="false" outlineLevel="0" collapsed="false">
      <c r="B60" s="37" t="s">
        <v>434</v>
      </c>
      <c r="C60" s="37" t="s">
        <v>435</v>
      </c>
      <c r="D60" s="37" t="s">
        <v>436</v>
      </c>
      <c r="E60" s="37" t="s">
        <v>437</v>
      </c>
      <c r="F60" s="37" t="s">
        <v>351</v>
      </c>
    </row>
    <row r="61" customFormat="false" ht="15" hidden="false" customHeight="false" outlineLevel="0" collapsed="false">
      <c r="B61" s="45" t="s">
        <v>438</v>
      </c>
      <c r="C61" s="67" t="n">
        <v>9</v>
      </c>
      <c r="D61" s="68" t="n">
        <v>0.9</v>
      </c>
      <c r="E61" s="69" t="n">
        <f aca="false">E17*C61/10*D61+E33*C61/10+E43+E47</f>
        <v>1029.65</v>
      </c>
    </row>
    <row r="62" customFormat="false" ht="15" hidden="false" customHeight="false" outlineLevel="0" collapsed="false">
      <c r="B62" s="45" t="s">
        <v>439</v>
      </c>
      <c r="C62" s="67" t="n">
        <v>10</v>
      </c>
      <c r="D62" s="68" t="n">
        <v>1</v>
      </c>
      <c r="E62" s="70" t="n">
        <f aca="false">E53</f>
        <v>1435.9475</v>
      </c>
    </row>
    <row r="63" customFormat="false" ht="15" hidden="false" customHeight="false" outlineLevel="0" collapsed="false">
      <c r="B63" s="45" t="s">
        <v>440</v>
      </c>
      <c r="C63" s="67" t="n">
        <v>13</v>
      </c>
      <c r="D63" s="68" t="n">
        <v>1</v>
      </c>
      <c r="E63" s="69" t="n">
        <f aca="false">E17*C63/10*D63+E33*C63/10+E43+E47*1.5</f>
        <v>1617.9</v>
      </c>
    </row>
  </sheetData>
  <mergeCells count="9">
    <mergeCell ref="B2:F2"/>
    <mergeCell ref="B3:F3"/>
    <mergeCell ref="B5:F5"/>
    <mergeCell ref="B14:F14"/>
    <mergeCell ref="B20:F20"/>
    <mergeCell ref="B36:F36"/>
    <mergeCell ref="B46:F46"/>
    <mergeCell ref="B50:F50"/>
    <mergeCell ref="B59:F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"/>
    <col collapsed="false" customWidth="true" hidden="false" outlineLevel="0" max="3" min="3" style="0" width="35"/>
    <col collapsed="false" customWidth="true" hidden="false" outlineLevel="0" max="6" min="4" style="0" width="12"/>
    <col collapsed="false" customWidth="true" hidden="false" outlineLevel="0" max="7" min="7" style="0" width="45"/>
    <col collapsed="false" customWidth="true" hidden="false" outlineLevel="0" max="8" min="8" style="0" width="25"/>
  </cols>
  <sheetData>
    <row r="2" customFormat="false" ht="19.7" hidden="false" customHeight="false" outlineLevel="0" collapsed="false">
      <c r="B2" s="1" t="s">
        <v>441</v>
      </c>
      <c r="C2" s="1"/>
      <c r="D2" s="1"/>
      <c r="E2" s="1"/>
      <c r="F2" s="1"/>
      <c r="G2" s="1"/>
      <c r="H2" s="1"/>
    </row>
    <row r="4" customFormat="false" ht="26.85" hidden="false" customHeight="false" outlineLevel="0" collapsed="false">
      <c r="A4" s="29" t="s">
        <v>442</v>
      </c>
      <c r="B4" s="29" t="s">
        <v>443</v>
      </c>
      <c r="C4" s="29" t="s">
        <v>444</v>
      </c>
      <c r="D4" s="29" t="s">
        <v>445</v>
      </c>
      <c r="E4" s="29" t="s">
        <v>446</v>
      </c>
      <c r="F4" s="29" t="s">
        <v>447</v>
      </c>
      <c r="G4" s="29" t="s">
        <v>448</v>
      </c>
      <c r="H4" s="29" t="s">
        <v>449</v>
      </c>
    </row>
    <row r="5" customFormat="false" ht="54.75" hidden="false" customHeight="true" outlineLevel="0" collapsed="false">
      <c r="A5" s="31" t="n">
        <v>1</v>
      </c>
      <c r="B5" s="25" t="s">
        <v>450</v>
      </c>
      <c r="C5" s="30" t="s">
        <v>451</v>
      </c>
      <c r="D5" s="11" t="n">
        <v>4</v>
      </c>
      <c r="E5" s="11" t="n">
        <v>3</v>
      </c>
      <c r="F5" s="71" t="n">
        <f aca="false">D5*E5</f>
        <v>12</v>
      </c>
      <c r="G5" s="30" t="s">
        <v>452</v>
      </c>
      <c r="H5" s="31" t="s">
        <v>453</v>
      </c>
    </row>
    <row r="6" customFormat="false" ht="54.75" hidden="false" customHeight="true" outlineLevel="0" collapsed="false">
      <c r="A6" s="31" t="n">
        <v>2</v>
      </c>
      <c r="B6" s="25" t="s">
        <v>450</v>
      </c>
      <c r="C6" s="30" t="s">
        <v>454</v>
      </c>
      <c r="D6" s="11" t="n">
        <v>3</v>
      </c>
      <c r="E6" s="11" t="n">
        <v>5</v>
      </c>
      <c r="F6" s="71" t="n">
        <f aca="false">D6*E6</f>
        <v>15</v>
      </c>
      <c r="G6" s="30" t="s">
        <v>455</v>
      </c>
      <c r="H6" s="31" t="s">
        <v>453</v>
      </c>
    </row>
    <row r="7" customFormat="false" ht="54.75" hidden="false" customHeight="true" outlineLevel="0" collapsed="false">
      <c r="A7" s="31" t="n">
        <v>3</v>
      </c>
      <c r="B7" s="25" t="s">
        <v>450</v>
      </c>
      <c r="C7" s="30" t="s">
        <v>456</v>
      </c>
      <c r="D7" s="11" t="n">
        <v>5</v>
      </c>
      <c r="E7" s="11" t="n">
        <v>3</v>
      </c>
      <c r="F7" s="71" t="n">
        <f aca="false">D7*E7</f>
        <v>15</v>
      </c>
      <c r="G7" s="30" t="s">
        <v>457</v>
      </c>
      <c r="H7" s="31" t="s">
        <v>458</v>
      </c>
    </row>
    <row r="8" customFormat="false" ht="54.75" hidden="false" customHeight="true" outlineLevel="0" collapsed="false">
      <c r="A8" s="31" t="n">
        <v>4</v>
      </c>
      <c r="B8" s="25" t="s">
        <v>450</v>
      </c>
      <c r="C8" s="30" t="s">
        <v>459</v>
      </c>
      <c r="D8" s="11" t="n">
        <v>3</v>
      </c>
      <c r="E8" s="11" t="n">
        <v>3</v>
      </c>
      <c r="F8" s="71" t="n">
        <f aca="false">D8*E8</f>
        <v>9</v>
      </c>
      <c r="G8" s="30" t="s">
        <v>460</v>
      </c>
      <c r="H8" s="31" t="s">
        <v>458</v>
      </c>
    </row>
    <row r="9" customFormat="false" ht="54.75" hidden="false" customHeight="true" outlineLevel="0" collapsed="false">
      <c r="A9" s="31" t="n">
        <v>5</v>
      </c>
      <c r="B9" s="25" t="s">
        <v>450</v>
      </c>
      <c r="C9" s="30" t="s">
        <v>461</v>
      </c>
      <c r="D9" s="11" t="n">
        <v>4</v>
      </c>
      <c r="E9" s="11" t="n">
        <v>3</v>
      </c>
      <c r="F9" s="71" t="n">
        <f aca="false">D9*E9</f>
        <v>12</v>
      </c>
      <c r="G9" s="30" t="s">
        <v>462</v>
      </c>
      <c r="H9" s="31" t="s">
        <v>453</v>
      </c>
    </row>
    <row r="10" customFormat="false" ht="54.75" hidden="false" customHeight="true" outlineLevel="0" collapsed="false">
      <c r="A10" s="31" t="n">
        <v>6</v>
      </c>
      <c r="B10" s="25" t="s">
        <v>450</v>
      </c>
      <c r="C10" s="30" t="s">
        <v>463</v>
      </c>
      <c r="D10" s="11" t="n">
        <v>4</v>
      </c>
      <c r="E10" s="11" t="n">
        <v>2</v>
      </c>
      <c r="F10" s="71" t="n">
        <f aca="false">D10*E10</f>
        <v>8</v>
      </c>
      <c r="G10" s="30" t="s">
        <v>464</v>
      </c>
      <c r="H10" s="31" t="s">
        <v>453</v>
      </c>
    </row>
    <row r="11" customFormat="false" ht="54.75" hidden="false" customHeight="true" outlineLevel="0" collapsed="false">
      <c r="A11" s="31" t="n">
        <v>7</v>
      </c>
      <c r="B11" s="25" t="s">
        <v>450</v>
      </c>
      <c r="C11" s="30" t="s">
        <v>465</v>
      </c>
      <c r="D11" s="11" t="n">
        <v>4</v>
      </c>
      <c r="E11" s="11" t="n">
        <v>3</v>
      </c>
      <c r="F11" s="71" t="n">
        <f aca="false">D11*E11</f>
        <v>12</v>
      </c>
      <c r="G11" s="30" t="s">
        <v>466</v>
      </c>
      <c r="H11" s="31" t="s">
        <v>458</v>
      </c>
    </row>
    <row r="12" customFormat="false" ht="54.75" hidden="false" customHeight="true" outlineLevel="0" collapsed="false">
      <c r="A12" s="31" t="n">
        <v>8</v>
      </c>
      <c r="B12" s="25" t="s">
        <v>467</v>
      </c>
      <c r="C12" s="30" t="s">
        <v>468</v>
      </c>
      <c r="D12" s="11" t="n">
        <v>5</v>
      </c>
      <c r="E12" s="11" t="n">
        <v>3</v>
      </c>
      <c r="F12" s="71" t="n">
        <f aca="false">D12*E12</f>
        <v>15</v>
      </c>
      <c r="G12" s="30" t="s">
        <v>469</v>
      </c>
      <c r="H12" s="31" t="s">
        <v>470</v>
      </c>
    </row>
    <row r="13" customFormat="false" ht="54.75" hidden="false" customHeight="true" outlineLevel="0" collapsed="false">
      <c r="A13" s="31" t="n">
        <v>9</v>
      </c>
      <c r="B13" s="25" t="s">
        <v>467</v>
      </c>
      <c r="C13" s="30" t="s">
        <v>471</v>
      </c>
      <c r="D13" s="11" t="n">
        <v>4</v>
      </c>
      <c r="E13" s="11" t="n">
        <v>4</v>
      </c>
      <c r="F13" s="71" t="n">
        <f aca="false">D13*E13</f>
        <v>16</v>
      </c>
      <c r="G13" s="30" t="s">
        <v>472</v>
      </c>
      <c r="H13" s="31" t="s">
        <v>453</v>
      </c>
    </row>
    <row r="14" customFormat="false" ht="54.75" hidden="false" customHeight="true" outlineLevel="0" collapsed="false">
      <c r="A14" s="31" t="n">
        <v>10</v>
      </c>
      <c r="B14" s="25" t="s">
        <v>467</v>
      </c>
      <c r="C14" s="30" t="s">
        <v>473</v>
      </c>
      <c r="D14" s="11" t="n">
        <v>3</v>
      </c>
      <c r="E14" s="11" t="n">
        <v>3</v>
      </c>
      <c r="F14" s="71" t="n">
        <f aca="false">D14*E14</f>
        <v>9</v>
      </c>
      <c r="G14" s="30" t="s">
        <v>474</v>
      </c>
      <c r="H14" s="31" t="s">
        <v>470</v>
      </c>
    </row>
    <row r="15" customFormat="false" ht="54.75" hidden="false" customHeight="true" outlineLevel="0" collapsed="false">
      <c r="A15" s="31" t="n">
        <v>11</v>
      </c>
      <c r="B15" s="25" t="s">
        <v>475</v>
      </c>
      <c r="C15" s="30" t="s">
        <v>476</v>
      </c>
      <c r="D15" s="11" t="n">
        <v>5</v>
      </c>
      <c r="E15" s="11" t="n">
        <v>4</v>
      </c>
      <c r="F15" s="71" t="n">
        <f aca="false">D15*E15</f>
        <v>20</v>
      </c>
      <c r="G15" s="30" t="s">
        <v>477</v>
      </c>
      <c r="H15" s="31" t="s">
        <v>478</v>
      </c>
    </row>
    <row r="16" customFormat="false" ht="54.75" hidden="false" customHeight="true" outlineLevel="0" collapsed="false">
      <c r="A16" s="31" t="n">
        <v>12</v>
      </c>
      <c r="B16" s="25" t="s">
        <v>475</v>
      </c>
      <c r="C16" s="30" t="s">
        <v>479</v>
      </c>
      <c r="D16" s="11" t="n">
        <v>4</v>
      </c>
      <c r="E16" s="11" t="n">
        <v>4</v>
      </c>
      <c r="F16" s="71" t="n">
        <f aca="false">D16*E16</f>
        <v>16</v>
      </c>
      <c r="G16" s="30" t="s">
        <v>480</v>
      </c>
      <c r="H16" s="31" t="s">
        <v>478</v>
      </c>
    </row>
    <row r="17" customFormat="false" ht="54.75" hidden="false" customHeight="true" outlineLevel="0" collapsed="false">
      <c r="A17" s="31" t="n">
        <v>13</v>
      </c>
      <c r="B17" s="25" t="s">
        <v>475</v>
      </c>
      <c r="C17" s="30" t="s">
        <v>481</v>
      </c>
      <c r="D17" s="11" t="n">
        <v>4</v>
      </c>
      <c r="E17" s="11" t="n">
        <v>3</v>
      </c>
      <c r="F17" s="71" t="n">
        <f aca="false">D17*E17</f>
        <v>12</v>
      </c>
      <c r="G17" s="30" t="s">
        <v>482</v>
      </c>
      <c r="H17" s="31" t="s">
        <v>478</v>
      </c>
    </row>
    <row r="18" customFormat="false" ht="54.75" hidden="false" customHeight="true" outlineLevel="0" collapsed="false">
      <c r="A18" s="31" t="n">
        <v>14</v>
      </c>
      <c r="B18" s="25" t="s">
        <v>483</v>
      </c>
      <c r="C18" s="30" t="s">
        <v>484</v>
      </c>
      <c r="D18" s="11" t="n">
        <v>4</v>
      </c>
      <c r="E18" s="11" t="n">
        <v>2</v>
      </c>
      <c r="F18" s="71" t="n">
        <f aca="false">D18*E18</f>
        <v>8</v>
      </c>
      <c r="G18" s="30" t="s">
        <v>485</v>
      </c>
      <c r="H18" s="31" t="s">
        <v>453</v>
      </c>
    </row>
    <row r="19" customFormat="false" ht="54.75" hidden="false" customHeight="true" outlineLevel="0" collapsed="false">
      <c r="A19" s="31" t="n">
        <v>15</v>
      </c>
      <c r="B19" s="25" t="s">
        <v>483</v>
      </c>
      <c r="C19" s="30" t="s">
        <v>486</v>
      </c>
      <c r="D19" s="11" t="n">
        <v>3</v>
      </c>
      <c r="E19" s="11" t="n">
        <v>3</v>
      </c>
      <c r="F19" s="71" t="n">
        <f aca="false">D19*E19</f>
        <v>9</v>
      </c>
      <c r="G19" s="30" t="s">
        <v>487</v>
      </c>
      <c r="H19" s="31" t="s">
        <v>453</v>
      </c>
    </row>
    <row r="20" customFormat="false" ht="54.75" hidden="false" customHeight="true" outlineLevel="0" collapsed="false">
      <c r="A20" s="31" t="n">
        <v>16</v>
      </c>
      <c r="B20" s="25" t="s">
        <v>488</v>
      </c>
      <c r="C20" s="30" t="s">
        <v>489</v>
      </c>
      <c r="D20" s="11" t="n">
        <v>4</v>
      </c>
      <c r="E20" s="11" t="n">
        <v>2</v>
      </c>
      <c r="F20" s="71" t="n">
        <f aca="false">D20*E20</f>
        <v>8</v>
      </c>
      <c r="G20" s="30" t="s">
        <v>490</v>
      </c>
      <c r="H20" s="31" t="s">
        <v>491</v>
      </c>
    </row>
    <row r="21" customFormat="false" ht="54.75" hidden="false" customHeight="true" outlineLevel="0" collapsed="false">
      <c r="A21" s="31" t="n">
        <v>17</v>
      </c>
      <c r="B21" s="25" t="s">
        <v>492</v>
      </c>
      <c r="C21" s="30" t="s">
        <v>493</v>
      </c>
      <c r="D21" s="11" t="n">
        <v>4</v>
      </c>
      <c r="E21" s="11" t="n">
        <v>3</v>
      </c>
      <c r="F21" s="71" t="n">
        <f aca="false">D21*E21</f>
        <v>12</v>
      </c>
      <c r="G21" s="30" t="s">
        <v>494</v>
      </c>
      <c r="H21" s="31" t="s">
        <v>453</v>
      </c>
    </row>
    <row r="22" customFormat="false" ht="54.75" hidden="false" customHeight="true" outlineLevel="0" collapsed="false">
      <c r="A22" s="31" t="n">
        <v>18</v>
      </c>
      <c r="B22" s="25" t="s">
        <v>495</v>
      </c>
      <c r="C22" s="30" t="s">
        <v>496</v>
      </c>
      <c r="D22" s="11" t="n">
        <v>5</v>
      </c>
      <c r="E22" s="11" t="n">
        <v>3</v>
      </c>
      <c r="F22" s="71" t="n">
        <f aca="false">D22*E22</f>
        <v>15</v>
      </c>
      <c r="G22" s="30" t="s">
        <v>497</v>
      </c>
      <c r="H22" s="31" t="s">
        <v>478</v>
      </c>
    </row>
    <row r="25" customFormat="false" ht="15" hidden="false" customHeight="false" outlineLevel="0" collapsed="false">
      <c r="B25" s="4" t="s">
        <v>498</v>
      </c>
    </row>
    <row r="26" customFormat="false" ht="15" hidden="false" customHeight="false" outlineLevel="0" collapsed="false">
      <c r="B26" s="19" t="s">
        <v>499</v>
      </c>
    </row>
    <row r="27" customFormat="false" ht="15" hidden="false" customHeight="false" outlineLevel="0" collapsed="false">
      <c r="B27" s="20" t="s">
        <v>500</v>
      </c>
    </row>
    <row r="28" customFormat="false" ht="15" hidden="false" customHeight="false" outlineLevel="0" collapsed="false">
      <c r="B28" s="21" t="s">
        <v>501</v>
      </c>
    </row>
    <row r="29" customFormat="false" ht="15" hidden="false" customHeight="false" outlineLevel="0" collapsed="false">
      <c r="B29" s="22" t="s">
        <v>502</v>
      </c>
    </row>
  </sheetData>
  <mergeCells count="1">
    <mergeCell ref="B2:H2"/>
  </mergeCells>
  <conditionalFormatting sqref="F5:F22">
    <cfRule type="cellIs" priority="2" operator="greaterThanOrEqual" aboveAverage="0" equalAverage="0" bottom="0" percent="0" rank="0" text="" dxfId="0">
      <formula>15</formula>
    </cfRule>
    <cfRule type="cellIs" priority="3" operator="between" aboveAverage="0" equalAverage="0" bottom="0" percent="0" rank="0" text="" dxfId="1">
      <formula>10</formula>
      <formula>14</formula>
    </cfRule>
    <cfRule type="cellIs" priority="4" operator="between" aboveAverage="0" equalAverage="0" bottom="0" percent="0" rank="0" text="" dxfId="2">
      <formula>5</formula>
      <formula>9</formula>
    </cfRule>
    <cfRule type="cellIs" priority="5" operator="lessThan" aboveAverage="0" equalAverage="0" bottom="0" percent="0" rank="0" text="" dxfId="3">
      <formula>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5"/>
    <col collapsed="false" customWidth="true" hidden="false" outlineLevel="0" max="4" min="3" style="0" width="35"/>
    <col collapsed="false" customWidth="true" hidden="false" outlineLevel="0" max="5" min="5" style="0" width="40"/>
  </cols>
  <sheetData>
    <row r="2" customFormat="false" ht="19.7" hidden="false" customHeight="false" outlineLevel="0" collapsed="false">
      <c r="B2" s="1" t="s">
        <v>503</v>
      </c>
      <c r="C2" s="1"/>
      <c r="D2" s="1"/>
      <c r="E2" s="1"/>
    </row>
    <row r="4" customFormat="false" ht="15" hidden="false" customHeight="false" outlineLevel="0" collapsed="false">
      <c r="B4" s="29" t="s">
        <v>504</v>
      </c>
      <c r="C4" s="29" t="s">
        <v>505</v>
      </c>
      <c r="D4" s="29" t="s">
        <v>506</v>
      </c>
      <c r="E4" s="29" t="s">
        <v>507</v>
      </c>
    </row>
    <row r="5" customFormat="false" ht="49.5" hidden="false" customHeight="true" outlineLevel="0" collapsed="false">
      <c r="B5" s="27" t="s">
        <v>508</v>
      </c>
      <c r="C5" s="9" t="s">
        <v>509</v>
      </c>
      <c r="D5" s="9" t="s">
        <v>510</v>
      </c>
      <c r="E5" s="9" t="s">
        <v>511</v>
      </c>
    </row>
    <row r="6" customFormat="false" ht="49.5" hidden="false" customHeight="true" outlineLevel="0" collapsed="false">
      <c r="B6" s="27" t="s">
        <v>512</v>
      </c>
      <c r="C6" s="9" t="s">
        <v>513</v>
      </c>
      <c r="D6" s="9" t="s">
        <v>514</v>
      </c>
      <c r="E6" s="9" t="s">
        <v>515</v>
      </c>
    </row>
    <row r="7" customFormat="false" ht="49.5" hidden="false" customHeight="true" outlineLevel="0" collapsed="false">
      <c r="B7" s="27" t="s">
        <v>516</v>
      </c>
      <c r="C7" s="9" t="s">
        <v>517</v>
      </c>
      <c r="D7" s="9" t="s">
        <v>518</v>
      </c>
      <c r="E7" s="9" t="s">
        <v>519</v>
      </c>
    </row>
    <row r="8" customFormat="false" ht="49.5" hidden="false" customHeight="true" outlineLevel="0" collapsed="false">
      <c r="B8" s="27" t="s">
        <v>520</v>
      </c>
      <c r="C8" s="9" t="s">
        <v>521</v>
      </c>
      <c r="D8" s="9" t="s">
        <v>522</v>
      </c>
      <c r="E8" s="9" t="s">
        <v>523</v>
      </c>
    </row>
    <row r="9" customFormat="false" ht="49.5" hidden="false" customHeight="true" outlineLevel="0" collapsed="false">
      <c r="B9" s="27" t="s">
        <v>524</v>
      </c>
      <c r="C9" s="9" t="s">
        <v>525</v>
      </c>
      <c r="D9" s="9" t="s">
        <v>526</v>
      </c>
      <c r="E9" s="9" t="s">
        <v>527</v>
      </c>
    </row>
    <row r="10" customFormat="false" ht="49.5" hidden="false" customHeight="true" outlineLevel="0" collapsed="false">
      <c r="B10" s="27" t="s">
        <v>528</v>
      </c>
      <c r="C10" s="9" t="s">
        <v>529</v>
      </c>
      <c r="D10" s="9" t="s">
        <v>530</v>
      </c>
      <c r="E10" s="9" t="s">
        <v>531</v>
      </c>
    </row>
    <row r="11" customFormat="false" ht="49.5" hidden="false" customHeight="true" outlineLevel="0" collapsed="false">
      <c r="B11" s="27" t="s">
        <v>532</v>
      </c>
      <c r="C11" s="9" t="s">
        <v>533</v>
      </c>
      <c r="D11" s="9" t="s">
        <v>534</v>
      </c>
      <c r="E11" s="9" t="s">
        <v>535</v>
      </c>
    </row>
    <row r="12" customFormat="false" ht="49.5" hidden="false" customHeight="true" outlineLevel="0" collapsed="false">
      <c r="B12" s="27" t="s">
        <v>536</v>
      </c>
      <c r="C12" s="9" t="s">
        <v>537</v>
      </c>
      <c r="D12" s="9" t="s">
        <v>538</v>
      </c>
      <c r="E12" s="9" t="s">
        <v>539</v>
      </c>
    </row>
    <row r="13" customFormat="false" ht="49.5" hidden="false" customHeight="true" outlineLevel="0" collapsed="false">
      <c r="B13" s="27" t="s">
        <v>540</v>
      </c>
      <c r="C13" s="9" t="s">
        <v>541</v>
      </c>
      <c r="D13" s="9" t="s">
        <v>542</v>
      </c>
      <c r="E13" s="9" t="s">
        <v>543</v>
      </c>
    </row>
    <row r="14" customFormat="false" ht="49.5" hidden="false" customHeight="true" outlineLevel="0" collapsed="false">
      <c r="B14" s="27" t="s">
        <v>544</v>
      </c>
      <c r="C14" s="9" t="s">
        <v>545</v>
      </c>
      <c r="D14" s="9" t="s">
        <v>546</v>
      </c>
      <c r="E14" s="9" t="s">
        <v>547</v>
      </c>
    </row>
    <row r="15" customFormat="false" ht="49.5" hidden="false" customHeight="true" outlineLevel="0" collapsed="false">
      <c r="B15" s="27" t="s">
        <v>548</v>
      </c>
      <c r="C15" s="9" t="s">
        <v>549</v>
      </c>
      <c r="D15" s="9" t="s">
        <v>550</v>
      </c>
      <c r="E15" s="9" t="s">
        <v>551</v>
      </c>
    </row>
    <row r="16" customFormat="false" ht="49.5" hidden="false" customHeight="true" outlineLevel="0" collapsed="false">
      <c r="B16" s="27" t="s">
        <v>552</v>
      </c>
      <c r="C16" s="9" t="s">
        <v>553</v>
      </c>
      <c r="D16" s="9" t="s">
        <v>554</v>
      </c>
      <c r="E16" s="9" t="s">
        <v>555</v>
      </c>
    </row>
    <row r="17" customFormat="false" ht="49.5" hidden="false" customHeight="true" outlineLevel="0" collapsed="false">
      <c r="B17" s="27" t="s">
        <v>556</v>
      </c>
      <c r="C17" s="9" t="s">
        <v>557</v>
      </c>
      <c r="D17" s="9" t="s">
        <v>558</v>
      </c>
      <c r="E17" s="9" t="s">
        <v>559</v>
      </c>
    </row>
    <row r="18" customFormat="false" ht="49.5" hidden="false" customHeight="true" outlineLevel="0" collapsed="false">
      <c r="B18" s="27" t="s">
        <v>31</v>
      </c>
      <c r="C18" s="9" t="s">
        <v>560</v>
      </c>
      <c r="D18" s="9" t="s">
        <v>561</v>
      </c>
      <c r="E18" s="9" t="s">
        <v>562</v>
      </c>
    </row>
    <row r="19" customFormat="false" ht="49.5" hidden="false" customHeight="true" outlineLevel="0" collapsed="false">
      <c r="B19" s="27" t="s">
        <v>563</v>
      </c>
      <c r="C19" s="9" t="s">
        <v>564</v>
      </c>
      <c r="D19" s="9" t="s">
        <v>565</v>
      </c>
      <c r="E19" s="9" t="s">
        <v>566</v>
      </c>
    </row>
    <row r="20" customFormat="false" ht="49.5" hidden="false" customHeight="true" outlineLevel="0" collapsed="false">
      <c r="B20" s="27" t="s">
        <v>33</v>
      </c>
      <c r="C20" s="9" t="s">
        <v>567</v>
      </c>
      <c r="D20" s="9" t="s">
        <v>568</v>
      </c>
      <c r="E20" s="9" t="s">
        <v>569</v>
      </c>
    </row>
    <row r="21" customFormat="false" ht="49.5" hidden="false" customHeight="true" outlineLevel="0" collapsed="false">
      <c r="B21" s="27" t="s">
        <v>35</v>
      </c>
      <c r="C21" s="9" t="s">
        <v>570</v>
      </c>
      <c r="D21" s="9" t="s">
        <v>571</v>
      </c>
      <c r="E21" s="9" t="s">
        <v>572</v>
      </c>
    </row>
    <row r="22" customFormat="false" ht="49.5" hidden="false" customHeight="true" outlineLevel="0" collapsed="false">
      <c r="B22" s="27" t="s">
        <v>37</v>
      </c>
      <c r="C22" s="9" t="s">
        <v>573</v>
      </c>
      <c r="D22" s="9" t="s">
        <v>574</v>
      </c>
      <c r="E22" s="9" t="s">
        <v>575</v>
      </c>
    </row>
    <row r="23" customFormat="false" ht="49.5" hidden="false" customHeight="true" outlineLevel="0" collapsed="false">
      <c r="B23" s="27" t="s">
        <v>576</v>
      </c>
      <c r="C23" s="9" t="s">
        <v>577</v>
      </c>
      <c r="D23" s="9" t="s">
        <v>578</v>
      </c>
      <c r="E23" s="9" t="s">
        <v>579</v>
      </c>
    </row>
    <row r="24" customFormat="false" ht="49.5" hidden="false" customHeight="true" outlineLevel="0" collapsed="false">
      <c r="B24" s="27" t="s">
        <v>580</v>
      </c>
      <c r="C24" s="9" t="s">
        <v>581</v>
      </c>
      <c r="D24" s="9" t="s">
        <v>582</v>
      </c>
      <c r="E24" s="9" t="s">
        <v>583</v>
      </c>
    </row>
    <row r="25" customFormat="false" ht="49.5" hidden="false" customHeight="true" outlineLevel="0" collapsed="false">
      <c r="B25" s="27" t="s">
        <v>584</v>
      </c>
      <c r="C25" s="9" t="s">
        <v>585</v>
      </c>
      <c r="D25" s="9" t="s">
        <v>586</v>
      </c>
      <c r="E25" s="9" t="s">
        <v>587</v>
      </c>
    </row>
    <row r="26" customFormat="false" ht="49.5" hidden="false" customHeight="true" outlineLevel="0" collapsed="false">
      <c r="B26" s="27" t="s">
        <v>588</v>
      </c>
      <c r="C26" s="9" t="s">
        <v>589</v>
      </c>
      <c r="D26" s="9" t="s">
        <v>590</v>
      </c>
      <c r="E26" s="9" t="s">
        <v>591</v>
      </c>
    </row>
    <row r="27" customFormat="false" ht="49.5" hidden="false" customHeight="true" outlineLevel="0" collapsed="false">
      <c r="B27" s="27" t="s">
        <v>592</v>
      </c>
      <c r="C27" s="9" t="s">
        <v>593</v>
      </c>
      <c r="D27" s="9" t="s">
        <v>594</v>
      </c>
      <c r="E27" s="9" t="s">
        <v>595</v>
      </c>
    </row>
    <row r="28" customFormat="false" ht="49.5" hidden="false" customHeight="true" outlineLevel="0" collapsed="false">
      <c r="B28" s="27" t="s">
        <v>596</v>
      </c>
      <c r="C28" s="9" t="s">
        <v>597</v>
      </c>
      <c r="D28" s="9" t="s">
        <v>598</v>
      </c>
      <c r="E28" s="9" t="s">
        <v>599</v>
      </c>
    </row>
    <row r="29" customFormat="false" ht="49.5" hidden="false" customHeight="true" outlineLevel="0" collapsed="false">
      <c r="B29" s="27" t="s">
        <v>600</v>
      </c>
      <c r="C29" s="9" t="s">
        <v>601</v>
      </c>
      <c r="D29" s="9" t="s">
        <v>602</v>
      </c>
      <c r="E29" s="9" t="s">
        <v>603</v>
      </c>
    </row>
    <row r="30" customFormat="false" ht="49.5" hidden="false" customHeight="true" outlineLevel="0" collapsed="false">
      <c r="B30" s="27" t="s">
        <v>604</v>
      </c>
      <c r="C30" s="9" t="s">
        <v>605</v>
      </c>
      <c r="D30" s="9" t="s">
        <v>83</v>
      </c>
      <c r="E30" s="9" t="s">
        <v>606</v>
      </c>
    </row>
    <row r="31" customFormat="false" ht="49.5" hidden="false" customHeight="true" outlineLevel="0" collapsed="false">
      <c r="B31" s="27" t="s">
        <v>607</v>
      </c>
      <c r="C31" s="9" t="s">
        <v>608</v>
      </c>
      <c r="D31" s="9" t="s">
        <v>609</v>
      </c>
      <c r="E31" s="9" t="s">
        <v>610</v>
      </c>
    </row>
    <row r="32" customFormat="false" ht="49.5" hidden="false" customHeight="true" outlineLevel="0" collapsed="false">
      <c r="B32" s="27" t="s">
        <v>611</v>
      </c>
      <c r="C32" s="9" t="s">
        <v>612</v>
      </c>
      <c r="D32" s="9" t="s">
        <v>613</v>
      </c>
      <c r="E32" s="9" t="s">
        <v>614</v>
      </c>
    </row>
    <row r="33" customFormat="false" ht="49.5" hidden="false" customHeight="true" outlineLevel="0" collapsed="false">
      <c r="B33" s="27" t="s">
        <v>615</v>
      </c>
      <c r="C33" s="9" t="s">
        <v>616</v>
      </c>
      <c r="D33" s="9" t="s">
        <v>617</v>
      </c>
      <c r="E33" s="9" t="s">
        <v>618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2026-05-22T09:07:20Z</dcterms:created>
  <dc:creator>openpyxl</dc:creator>
  <dc:description/>
  <dc:language>en-US</dc:language>
  <cp:lastModifiedBy/>
  <dcterms:modified xsi:type="dcterms:W3CDTF">2026-05-22T09:07:20Z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